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sergiocavero/temp_bin/"/>
    </mc:Choice>
  </mc:AlternateContent>
  <xr:revisionPtr revIDLastSave="0" documentId="13_ncr:1_{D8FEDDCC-66B4-C142-9368-DB9D72D799BD}" xr6:coauthVersionLast="47" xr6:coauthVersionMax="47" xr10:uidLastSave="{00000000-0000-0000-0000-000000000000}"/>
  <workbookProtection workbookAlgorithmName="SHA-512" workbookHashValue="M0OjqAG/B7aZ8pJokIwTYkc9o9fsLqc0B0zD5egc0c4hrMuGlYlbA0GDJkQlDaudDv+EH4L1fWG+ZtKrIUhKRw==" workbookSaltValue="IGHP4cTnc0/4Io7wv5R1LA==" workbookSpinCount="100000" lockStructure="1"/>
  <bookViews>
    <workbookView xWindow="-11200" yWindow="-28300" windowWidth="51200" windowHeight="28300" activeTab="2" xr2:uid="{00000000-000D-0000-FFFF-FFFF00000000}"/>
  </bookViews>
  <sheets>
    <sheet name="Std-MA-SA" sheetId="5" r:id="rId1"/>
    <sheet name="52HB MA-SA" sheetId="6" r:id="rId2"/>
    <sheet name="61HB-MA-SA" sheetId="7" r:id="rId3"/>
  </sheets>
  <definedNames>
    <definedName name="_xlnm._FilterDatabase" localSheetId="1" hidden="1">'52HB MA-SA'!$A$2:$AC$53</definedName>
    <definedName name="_xlnm._FilterDatabase" localSheetId="0" hidden="1">'Std-MA-SA'!$A$2:$AC$72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5" l="1"/>
  <c r="AC3" i="5" s="1"/>
  <c r="AD64" i="7"/>
  <c r="H72" i="7" s="1"/>
  <c r="AA64" i="7"/>
  <c r="Z64" i="7"/>
  <c r="K72" i="7" s="1"/>
  <c r="R64" i="7"/>
  <c r="V64" i="7"/>
  <c r="G71" i="7" s="1"/>
  <c r="W64" i="7"/>
  <c r="H71" i="7" s="1"/>
  <c r="T64" i="7"/>
  <c r="J71" i="7" s="1"/>
  <c r="U64" i="7"/>
  <c r="F71" i="7" s="1"/>
  <c r="S64" i="7"/>
  <c r="K71" i="7" s="1"/>
  <c r="AI55" i="6"/>
  <c r="S62" i="6" s="1"/>
  <c r="AH55" i="6"/>
  <c r="R62" i="6" s="1"/>
  <c r="AF55" i="6"/>
  <c r="U62" i="6" s="1"/>
  <c r="AE55" i="6"/>
  <c r="V62" i="6" s="1"/>
  <c r="V79" i="5"/>
  <c r="U79" i="5"/>
  <c r="T79" i="5"/>
  <c r="S79" i="5"/>
  <c r="R79" i="5"/>
  <c r="Q79" i="5"/>
  <c r="L64" i="7"/>
  <c r="G70" i="7" s="1"/>
  <c r="M64" i="7"/>
  <c r="H70" i="7" s="1"/>
  <c r="N64" i="7"/>
  <c r="I70" i="7" s="1"/>
  <c r="T80" i="5"/>
  <c r="R80" i="5"/>
  <c r="Q80" i="5"/>
  <c r="V77" i="5"/>
  <c r="Q77" i="5"/>
  <c r="V78" i="5"/>
  <c r="U78" i="5"/>
  <c r="T78" i="5"/>
  <c r="S78" i="5"/>
  <c r="R78" i="5"/>
  <c r="Q78" i="5"/>
  <c r="AQ4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56" i="6" s="1"/>
  <c r="X63" i="6" s="1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3" i="6"/>
  <c r="AO73" i="5"/>
  <c r="AP73" i="5"/>
  <c r="S80" i="5" s="1"/>
  <c r="AK73" i="5"/>
  <c r="AN73" i="5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3" i="7"/>
  <c r="X3" i="7" s="1"/>
  <c r="C64" i="7"/>
  <c r="D64" i="7"/>
  <c r="E64" i="7"/>
  <c r="F64" i="7"/>
  <c r="H64" i="7"/>
  <c r="I64" i="7"/>
  <c r="J64" i="7"/>
  <c r="K64" i="7"/>
  <c r="F70" i="7" s="1"/>
  <c r="O64" i="7"/>
  <c r="K70" i="7" s="1"/>
  <c r="P64" i="7"/>
  <c r="J70" i="7" s="1"/>
  <c r="B64" i="7"/>
  <c r="G4" i="7"/>
  <c r="G5" i="7"/>
  <c r="G6" i="7"/>
  <c r="G7" i="7"/>
  <c r="AB55" i="6"/>
  <c r="V60" i="6" s="1"/>
  <c r="AA55" i="6"/>
  <c r="Q60" i="6" s="1"/>
  <c r="V55" i="6"/>
  <c r="U61" i="6" s="1"/>
  <c r="U55" i="6"/>
  <c r="V61" i="6" s="1"/>
  <c r="Q55" i="6"/>
  <c r="Q61" i="6" s="1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G25" i="6"/>
  <c r="F25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G9" i="6"/>
  <c r="F9" i="6"/>
  <c r="G8" i="6"/>
  <c r="F8" i="6"/>
  <c r="G7" i="6"/>
  <c r="F7" i="6"/>
  <c r="G6" i="6"/>
  <c r="F6" i="6"/>
  <c r="G5" i="6"/>
  <c r="F5" i="6"/>
  <c r="G4" i="6"/>
  <c r="F4" i="6"/>
  <c r="G3" i="6"/>
  <c r="F3" i="6"/>
  <c r="G1" i="6"/>
  <c r="AB73" i="5"/>
  <c r="AA73" i="5"/>
  <c r="V73" i="5"/>
  <c r="U73" i="5"/>
  <c r="T73" i="5"/>
  <c r="S73" i="5"/>
  <c r="R73" i="5"/>
  <c r="Q73" i="5"/>
  <c r="G72" i="5"/>
  <c r="F72" i="5"/>
  <c r="G71" i="5"/>
  <c r="F71" i="5"/>
  <c r="G70" i="5"/>
  <c r="F70" i="5"/>
  <c r="G69" i="5"/>
  <c r="F69" i="5"/>
  <c r="G68" i="5"/>
  <c r="F68" i="5"/>
  <c r="G67" i="5"/>
  <c r="F67" i="5"/>
  <c r="G66" i="5"/>
  <c r="F66" i="5"/>
  <c r="G65" i="5"/>
  <c r="F65" i="5"/>
  <c r="G64" i="5"/>
  <c r="F64" i="5"/>
  <c r="G63" i="5"/>
  <c r="F63" i="5"/>
  <c r="G62" i="5"/>
  <c r="F62" i="5"/>
  <c r="G61" i="5"/>
  <c r="F61" i="5"/>
  <c r="G60" i="5"/>
  <c r="F60" i="5"/>
  <c r="G59" i="5"/>
  <c r="F59" i="5"/>
  <c r="G58" i="5"/>
  <c r="F58" i="5"/>
  <c r="G57" i="5"/>
  <c r="F57" i="5"/>
  <c r="G56" i="5"/>
  <c r="F56" i="5"/>
  <c r="G55" i="5"/>
  <c r="F55" i="5"/>
  <c r="G54" i="5"/>
  <c r="F54" i="5"/>
  <c r="G53" i="5"/>
  <c r="F53" i="5"/>
  <c r="G52" i="5"/>
  <c r="F52" i="5"/>
  <c r="G51" i="5"/>
  <c r="F51" i="5"/>
  <c r="G50" i="5"/>
  <c r="F50" i="5"/>
  <c r="G49" i="5"/>
  <c r="F49" i="5"/>
  <c r="G48" i="5"/>
  <c r="F48" i="5"/>
  <c r="G47" i="5"/>
  <c r="F47" i="5"/>
  <c r="G46" i="5"/>
  <c r="F46" i="5"/>
  <c r="G45" i="5"/>
  <c r="F45" i="5"/>
  <c r="G44" i="5"/>
  <c r="F44" i="5"/>
  <c r="G43" i="5"/>
  <c r="F43" i="5"/>
  <c r="G42" i="5"/>
  <c r="F42" i="5"/>
  <c r="G41" i="5"/>
  <c r="F41" i="5"/>
  <c r="G40" i="5"/>
  <c r="F40" i="5"/>
  <c r="G39" i="5"/>
  <c r="F39" i="5"/>
  <c r="G38" i="5"/>
  <c r="F38" i="5"/>
  <c r="G37" i="5"/>
  <c r="F37" i="5"/>
  <c r="G36" i="5"/>
  <c r="F36" i="5"/>
  <c r="G35" i="5"/>
  <c r="F35" i="5"/>
  <c r="G34" i="5"/>
  <c r="F34" i="5"/>
  <c r="G33" i="5"/>
  <c r="F33" i="5"/>
  <c r="G32" i="5"/>
  <c r="F32" i="5"/>
  <c r="G31" i="5"/>
  <c r="F31" i="5"/>
  <c r="G30" i="5"/>
  <c r="F30" i="5"/>
  <c r="G29" i="5"/>
  <c r="F29" i="5"/>
  <c r="G28" i="5"/>
  <c r="F28" i="5"/>
  <c r="G27" i="5"/>
  <c r="F27" i="5"/>
  <c r="G26" i="5"/>
  <c r="F26" i="5"/>
  <c r="G25" i="5"/>
  <c r="F25" i="5"/>
  <c r="G24" i="5"/>
  <c r="F24" i="5"/>
  <c r="G23" i="5"/>
  <c r="F23" i="5"/>
  <c r="G22" i="5"/>
  <c r="F22" i="5"/>
  <c r="G21" i="5"/>
  <c r="F21" i="5"/>
  <c r="G20" i="5"/>
  <c r="F20" i="5"/>
  <c r="G19" i="5"/>
  <c r="F19" i="5"/>
  <c r="G18" i="5"/>
  <c r="F18" i="5"/>
  <c r="G17" i="5"/>
  <c r="F17" i="5"/>
  <c r="G16" i="5"/>
  <c r="F16" i="5"/>
  <c r="G15" i="5"/>
  <c r="F15" i="5"/>
  <c r="G14" i="5"/>
  <c r="F14" i="5"/>
  <c r="G13" i="5"/>
  <c r="F13" i="5"/>
  <c r="G12" i="5"/>
  <c r="F12" i="5"/>
  <c r="G11" i="5"/>
  <c r="F11" i="5"/>
  <c r="G10" i="5"/>
  <c r="F10" i="5"/>
  <c r="G9" i="5"/>
  <c r="F9" i="5"/>
  <c r="G8" i="5"/>
  <c r="F8" i="5"/>
  <c r="G7" i="5"/>
  <c r="F7" i="5"/>
  <c r="G6" i="5"/>
  <c r="G1" i="5" s="1"/>
  <c r="F6" i="5"/>
  <c r="G5" i="5"/>
  <c r="F5" i="5"/>
  <c r="G4" i="5"/>
  <c r="F4" i="5"/>
  <c r="G3" i="5"/>
  <c r="F3" i="5"/>
  <c r="I71" i="7" l="1"/>
  <c r="Q3" i="7"/>
  <c r="AG55" i="6"/>
  <c r="Q62" i="6" s="1"/>
  <c r="P4" i="6"/>
  <c r="AJ4" i="6" s="1"/>
  <c r="P5" i="6"/>
  <c r="AJ5" i="6" s="1"/>
  <c r="P6" i="6"/>
  <c r="AJ6" i="6" s="1"/>
  <c r="P7" i="6"/>
  <c r="AJ7" i="6" s="1"/>
  <c r="P8" i="6"/>
  <c r="AJ8" i="6" s="1"/>
  <c r="P9" i="6"/>
  <c r="AJ9" i="6"/>
  <c r="P10" i="6"/>
  <c r="AJ10" i="6" s="1"/>
  <c r="P11" i="6"/>
  <c r="AJ11" i="6" s="1"/>
  <c r="P12" i="6"/>
  <c r="AJ12" i="6" s="1"/>
  <c r="P13" i="6"/>
  <c r="AJ13" i="6" s="1"/>
  <c r="P14" i="6"/>
  <c r="AJ14" i="6" s="1"/>
  <c r="P15" i="6"/>
  <c r="AJ15" i="6" s="1"/>
  <c r="P16" i="6"/>
  <c r="AJ16" i="6" s="1"/>
  <c r="P17" i="6"/>
  <c r="AJ17" i="6" s="1"/>
  <c r="P18" i="6"/>
  <c r="AJ18" i="6" s="1"/>
  <c r="P19" i="6"/>
  <c r="AJ19" i="6" s="1"/>
  <c r="P20" i="6"/>
  <c r="AJ20" i="6" s="1"/>
  <c r="P21" i="6"/>
  <c r="AJ21" i="6" s="1"/>
  <c r="P22" i="6"/>
  <c r="AJ22" i="6" s="1"/>
  <c r="P23" i="6"/>
  <c r="P24" i="6"/>
  <c r="AJ24" i="6" s="1"/>
  <c r="P25" i="6"/>
  <c r="AJ25" i="6"/>
  <c r="P26" i="6"/>
  <c r="AJ26" i="6" s="1"/>
  <c r="P27" i="6"/>
  <c r="AJ27" i="6" s="1"/>
  <c r="P28" i="6"/>
  <c r="AJ28" i="6" s="1"/>
  <c r="P29" i="6"/>
  <c r="AJ29" i="6" s="1"/>
  <c r="P30" i="6"/>
  <c r="AJ30" i="6" s="1"/>
  <c r="P31" i="6"/>
  <c r="AJ31" i="6" s="1"/>
  <c r="P32" i="6"/>
  <c r="AJ32" i="6" s="1"/>
  <c r="P33" i="6"/>
  <c r="AJ33" i="6" s="1"/>
  <c r="P34" i="6"/>
  <c r="AJ34" i="6"/>
  <c r="P35" i="6"/>
  <c r="AJ35" i="6"/>
  <c r="P36" i="6"/>
  <c r="AJ36" i="6"/>
  <c r="P37" i="6"/>
  <c r="AJ37" i="6"/>
  <c r="P38" i="6"/>
  <c r="AJ38" i="6"/>
  <c r="P39" i="6"/>
  <c r="AJ39" i="6"/>
  <c r="P40" i="6"/>
  <c r="AJ40" i="6" s="1"/>
  <c r="P41" i="6"/>
  <c r="AJ41" i="6" s="1"/>
  <c r="P42" i="6"/>
  <c r="AJ42" i="6"/>
  <c r="P43" i="6"/>
  <c r="AJ43" i="6" s="1"/>
  <c r="P44" i="6"/>
  <c r="AJ44" i="6"/>
  <c r="P45" i="6"/>
  <c r="AJ45" i="6"/>
  <c r="P46" i="6"/>
  <c r="AJ46" i="6"/>
  <c r="P47" i="6"/>
  <c r="AJ47" i="6" s="1"/>
  <c r="P48" i="6"/>
  <c r="AJ48" i="6" s="1"/>
  <c r="P49" i="6"/>
  <c r="AJ49" i="6" s="1"/>
  <c r="P50" i="6"/>
  <c r="P51" i="6"/>
  <c r="P52" i="6"/>
  <c r="AJ52" i="6"/>
  <c r="P53" i="6"/>
  <c r="AJ53" i="6" s="1"/>
  <c r="P54" i="6"/>
  <c r="AJ54" i="6"/>
  <c r="P3" i="6"/>
  <c r="AJ3" i="6" s="1"/>
  <c r="P68" i="5"/>
  <c r="AJ68" i="5" s="1"/>
  <c r="P63" i="5"/>
  <c r="AJ63" i="5" s="1"/>
  <c r="P60" i="5"/>
  <c r="AJ60" i="5" s="1"/>
  <c r="P57" i="5"/>
  <c r="AJ57" i="5" s="1"/>
  <c r="P55" i="5"/>
  <c r="AJ55" i="5" s="1"/>
  <c r="P50" i="5"/>
  <c r="AJ50" i="5" s="1"/>
  <c r="P38" i="5"/>
  <c r="AJ38" i="5" s="1"/>
  <c r="P34" i="5"/>
  <c r="AJ34" i="5" s="1"/>
  <c r="P30" i="5"/>
  <c r="AJ30" i="5" s="1"/>
  <c r="P27" i="5"/>
  <c r="P23" i="5"/>
  <c r="P18" i="5"/>
  <c r="P13" i="5"/>
  <c r="P12" i="5"/>
  <c r="P9" i="5"/>
  <c r="P6" i="5"/>
  <c r="P72" i="5"/>
  <c r="AJ72" i="5" s="1"/>
  <c r="P53" i="5"/>
  <c r="AJ53" i="5" s="1"/>
  <c r="P47" i="5"/>
  <c r="AJ47" i="5" s="1"/>
  <c r="P43" i="5"/>
  <c r="AJ43" i="5" s="1"/>
  <c r="P39" i="5"/>
  <c r="AJ39" i="5" s="1"/>
  <c r="P36" i="5"/>
  <c r="AJ36" i="5" s="1"/>
  <c r="P33" i="5"/>
  <c r="AJ33" i="5" s="1"/>
  <c r="P20" i="5"/>
  <c r="P15" i="5"/>
  <c r="P11" i="5"/>
  <c r="P8" i="5"/>
  <c r="P5" i="5"/>
  <c r="P71" i="5"/>
  <c r="AJ71" i="5" s="1"/>
  <c r="P67" i="5"/>
  <c r="AJ67" i="5" s="1"/>
  <c r="P65" i="5"/>
  <c r="AJ65" i="5" s="1"/>
  <c r="P61" i="5"/>
  <c r="AJ61" i="5" s="1"/>
  <c r="P58" i="5"/>
  <c r="AJ58" i="5" s="1"/>
  <c r="P54" i="5"/>
  <c r="AJ54" i="5" s="1"/>
  <c r="P51" i="5"/>
  <c r="AJ51" i="5" s="1"/>
  <c r="P48" i="5"/>
  <c r="AJ48" i="5" s="1"/>
  <c r="P45" i="5"/>
  <c r="AJ45" i="5" s="1"/>
  <c r="P42" i="5"/>
  <c r="AJ42" i="5" s="1"/>
  <c r="P40" i="5"/>
  <c r="P37" i="5"/>
  <c r="AJ37" i="5" s="1"/>
  <c r="P32" i="5"/>
  <c r="AJ32" i="5" s="1"/>
  <c r="P28" i="5"/>
  <c r="AJ28" i="5" s="1"/>
  <c r="P25" i="5"/>
  <c r="AJ25" i="5" s="1"/>
  <c r="P22" i="5"/>
  <c r="AJ22" i="5" s="1"/>
  <c r="P19" i="5"/>
  <c r="AJ19" i="5" s="1"/>
  <c r="P14" i="5"/>
  <c r="P70" i="5"/>
  <c r="AJ70" i="5" s="1"/>
  <c r="P69" i="5"/>
  <c r="AJ69" i="5" s="1"/>
  <c r="P66" i="5"/>
  <c r="AJ66" i="5" s="1"/>
  <c r="P62" i="5"/>
  <c r="AJ62" i="5" s="1"/>
  <c r="P59" i="5"/>
  <c r="AJ59" i="5" s="1"/>
  <c r="P56" i="5"/>
  <c r="AJ56" i="5" s="1"/>
  <c r="P52" i="5"/>
  <c r="AJ52" i="5" s="1"/>
  <c r="P49" i="5"/>
  <c r="AJ49" i="5" s="1"/>
  <c r="P46" i="5"/>
  <c r="AJ46" i="5" s="1"/>
  <c r="P44" i="5"/>
  <c r="AJ44" i="5" s="1"/>
  <c r="P41" i="5"/>
  <c r="AJ41" i="5" s="1"/>
  <c r="P35" i="5"/>
  <c r="AJ35" i="5" s="1"/>
  <c r="P31" i="5"/>
  <c r="AJ31" i="5" s="1"/>
  <c r="P29" i="5"/>
  <c r="AJ29" i="5" s="1"/>
  <c r="P26" i="5"/>
  <c r="AJ26" i="5" s="1"/>
  <c r="P24" i="5"/>
  <c r="AJ24" i="5" s="1"/>
  <c r="P21" i="5"/>
  <c r="AJ21" i="5" s="1"/>
  <c r="P17" i="5"/>
  <c r="AJ17" i="5" s="1"/>
  <c r="P16" i="5"/>
  <c r="AJ16" i="5" s="1"/>
  <c r="P10" i="5"/>
  <c r="AJ10" i="5" s="1"/>
  <c r="P7" i="5"/>
  <c r="P4" i="5"/>
  <c r="P64" i="5"/>
  <c r="AJ64" i="5" s="1"/>
  <c r="AE52" i="7"/>
  <c r="AE59" i="7"/>
  <c r="AE60" i="7"/>
  <c r="AE63" i="7"/>
  <c r="AE54" i="7"/>
  <c r="AE51" i="7"/>
  <c r="AE55" i="7"/>
  <c r="AE57" i="7"/>
  <c r="AE50" i="7"/>
  <c r="AE53" i="7"/>
  <c r="AE58" i="7"/>
  <c r="AE61" i="7"/>
  <c r="AE49" i="7"/>
  <c r="AE62" i="7"/>
  <c r="AE56" i="7"/>
  <c r="AC64" i="7"/>
  <c r="G72" i="7" s="1"/>
  <c r="Y64" i="7"/>
  <c r="I72" i="7" s="1"/>
  <c r="AE21" i="7"/>
  <c r="AE27" i="7"/>
  <c r="AE33" i="7"/>
  <c r="AE37" i="7"/>
  <c r="AE45" i="7"/>
  <c r="AE4" i="7"/>
  <c r="AE5" i="7"/>
  <c r="AE6" i="7"/>
  <c r="AE7" i="7"/>
  <c r="AE8" i="7"/>
  <c r="AE9" i="7"/>
  <c r="AE10" i="7"/>
  <c r="AE11" i="7"/>
  <c r="AE12" i="7"/>
  <c r="AE13" i="7"/>
  <c r="AE14" i="7"/>
  <c r="AE15" i="7"/>
  <c r="AE17" i="7"/>
  <c r="AE19" i="7"/>
  <c r="AE23" i="7"/>
  <c r="AE25" i="7"/>
  <c r="AE28" i="7"/>
  <c r="AE31" i="7"/>
  <c r="AE35" i="7"/>
  <c r="AE39" i="7"/>
  <c r="AE41" i="7"/>
  <c r="AE43" i="7"/>
  <c r="AE16" i="7"/>
  <c r="AE34" i="7"/>
  <c r="AE40" i="7"/>
  <c r="AE48" i="7"/>
  <c r="AE18" i="7"/>
  <c r="AE24" i="7"/>
  <c r="AE29" i="7"/>
  <c r="AE36" i="7"/>
  <c r="AE46" i="7"/>
  <c r="AE22" i="7"/>
  <c r="AE26" i="7"/>
  <c r="AE32" i="7"/>
  <c r="AE38" i="7"/>
  <c r="AE44" i="7"/>
  <c r="AE20" i="7"/>
  <c r="AE42" i="7"/>
  <c r="AE47" i="7"/>
  <c r="AE30" i="7"/>
  <c r="AB64" i="7"/>
  <c r="AE3" i="7"/>
  <c r="Q56" i="7"/>
  <c r="X56" i="7"/>
  <c r="Q57" i="7"/>
  <c r="X57" i="7"/>
  <c r="Q58" i="7"/>
  <c r="X58" i="7"/>
  <c r="Q59" i="7"/>
  <c r="X59" i="7"/>
  <c r="Q60" i="7"/>
  <c r="X60" i="7"/>
  <c r="Q61" i="7"/>
  <c r="X61" i="7"/>
  <c r="Q62" i="7"/>
  <c r="X62" i="7"/>
  <c r="Q63" i="7"/>
  <c r="X63" i="7"/>
  <c r="AP55" i="6"/>
  <c r="S63" i="6" s="1"/>
  <c r="AO55" i="6"/>
  <c r="R63" i="6" s="1"/>
  <c r="AL55" i="6"/>
  <c r="V63" i="6" s="1"/>
  <c r="AK55" i="6"/>
  <c r="T63" i="6" s="1"/>
  <c r="AM55" i="6"/>
  <c r="U63" i="6" s="1"/>
  <c r="AN55" i="6"/>
  <c r="AL73" i="5"/>
  <c r="V80" i="5" s="1"/>
  <c r="AM73" i="5"/>
  <c r="U80" i="5" s="1"/>
  <c r="Q8" i="7"/>
  <c r="X8" i="7"/>
  <c r="Q9" i="7"/>
  <c r="X9" i="7"/>
  <c r="Q10" i="7"/>
  <c r="X10" i="7"/>
  <c r="Q11" i="7"/>
  <c r="X11" i="7"/>
  <c r="Q12" i="7"/>
  <c r="X12" i="7"/>
  <c r="Q13" i="7"/>
  <c r="X13" i="7"/>
  <c r="Q14" i="7"/>
  <c r="X14" i="7"/>
  <c r="Q15" i="7"/>
  <c r="X15" i="7"/>
  <c r="Q16" i="7"/>
  <c r="X16" i="7"/>
  <c r="Q17" i="7"/>
  <c r="X17" i="7"/>
  <c r="Q18" i="7"/>
  <c r="X18" i="7"/>
  <c r="Q19" i="7"/>
  <c r="X19" i="7"/>
  <c r="Q20" i="7"/>
  <c r="X20" i="7"/>
  <c r="Q21" i="7"/>
  <c r="X21" i="7"/>
  <c r="Q22" i="7"/>
  <c r="X22" i="7"/>
  <c r="Q23" i="7"/>
  <c r="X23" i="7"/>
  <c r="Q24" i="7"/>
  <c r="X24" i="7"/>
  <c r="Q25" i="7"/>
  <c r="X25" i="7"/>
  <c r="Q26" i="7"/>
  <c r="X26" i="7"/>
  <c r="Q27" i="7"/>
  <c r="X27" i="7"/>
  <c r="Q28" i="7"/>
  <c r="X28" i="7"/>
  <c r="Q29" i="7"/>
  <c r="X29" i="7"/>
  <c r="Q30" i="7"/>
  <c r="X30" i="7"/>
  <c r="Q31" i="7"/>
  <c r="X31" i="7"/>
  <c r="Q32" i="7"/>
  <c r="X32" i="7"/>
  <c r="Q33" i="7"/>
  <c r="X33" i="7"/>
  <c r="Q34" i="7"/>
  <c r="X34" i="7"/>
  <c r="Q35" i="7"/>
  <c r="X35" i="7"/>
  <c r="Q36" i="7"/>
  <c r="X36" i="7"/>
  <c r="Q37" i="7"/>
  <c r="X37" i="7"/>
  <c r="Q38" i="7"/>
  <c r="X38" i="7"/>
  <c r="Q39" i="7"/>
  <c r="X39" i="7"/>
  <c r="Q40" i="7"/>
  <c r="X40" i="7"/>
  <c r="Q41" i="7"/>
  <c r="X41" i="7"/>
  <c r="Q42" i="7"/>
  <c r="X42" i="7"/>
  <c r="Q43" i="7"/>
  <c r="X43" i="7"/>
  <c r="Q44" i="7"/>
  <c r="X44" i="7"/>
  <c r="Q45" i="7"/>
  <c r="X45" i="7"/>
  <c r="Q46" i="7"/>
  <c r="X46" i="7"/>
  <c r="Q47" i="7"/>
  <c r="X47" i="7"/>
  <c r="Q48" i="7"/>
  <c r="X48" i="7"/>
  <c r="Q49" i="7"/>
  <c r="X49" i="7"/>
  <c r="Q50" i="7"/>
  <c r="X50" i="7"/>
  <c r="Q51" i="7"/>
  <c r="X51" i="7"/>
  <c r="Q52" i="7"/>
  <c r="X52" i="7"/>
  <c r="Q53" i="7"/>
  <c r="X53" i="7"/>
  <c r="Q54" i="7"/>
  <c r="X54" i="7"/>
  <c r="Q55" i="7"/>
  <c r="X55" i="7"/>
  <c r="Q4" i="7"/>
  <c r="X4" i="7"/>
  <c r="Q5" i="7"/>
  <c r="X5" i="7"/>
  <c r="Q6" i="7"/>
  <c r="X6" i="7"/>
  <c r="Q7" i="7"/>
  <c r="X7" i="7"/>
  <c r="G64" i="7"/>
  <c r="AD55" i="6"/>
  <c r="T62" i="6" s="1"/>
  <c r="T55" i="6"/>
  <c r="T61" i="6" s="1"/>
  <c r="S55" i="6"/>
  <c r="S61" i="6" s="1"/>
  <c r="R55" i="6"/>
  <c r="R61" i="6" s="1"/>
  <c r="AC23" i="6" l="1"/>
  <c r="AJ23" i="6"/>
  <c r="E50" i="6"/>
  <c r="H50" i="6" s="1"/>
  <c r="W50" i="6"/>
  <c r="AC50" i="6"/>
  <c r="AJ50" i="6"/>
  <c r="W51" i="6"/>
  <c r="AC51" i="6"/>
  <c r="AJ51" i="6"/>
  <c r="E51" i="6"/>
  <c r="H51" i="6" s="1"/>
  <c r="AC52" i="6"/>
  <c r="E52" i="6"/>
  <c r="H52" i="6" s="1"/>
  <c r="W52" i="6"/>
  <c r="W53" i="6"/>
  <c r="AC53" i="6"/>
  <c r="E53" i="6"/>
  <c r="H53" i="6" s="1"/>
  <c r="AC54" i="6"/>
  <c r="W54" i="6"/>
  <c r="E54" i="6"/>
  <c r="H54" i="6" s="1"/>
  <c r="AJ55" i="6"/>
  <c r="W62" i="6" s="1"/>
  <c r="W3" i="6"/>
  <c r="E3" i="6"/>
  <c r="H3" i="6" s="1"/>
  <c r="AC3" i="6"/>
  <c r="Q63" i="6"/>
  <c r="AQ55" i="6"/>
  <c r="W63" i="6" s="1"/>
  <c r="P55" i="6"/>
  <c r="AJ3" i="5"/>
  <c r="AQ3" i="5"/>
  <c r="E3" i="5"/>
  <c r="H3" i="5" s="1"/>
  <c r="W3" i="5"/>
  <c r="AQ27" i="5"/>
  <c r="AJ27" i="5"/>
  <c r="AQ23" i="5"/>
  <c r="W23" i="5"/>
  <c r="AC23" i="5"/>
  <c r="AJ23" i="5"/>
  <c r="E23" i="5"/>
  <c r="H23" i="5" s="1"/>
  <c r="AJ18" i="5"/>
  <c r="E18" i="5"/>
  <c r="H18" i="5" s="1"/>
  <c r="AC18" i="5"/>
  <c r="AQ13" i="5"/>
  <c r="AC13" i="5"/>
  <c r="AJ13" i="5"/>
  <c r="W13" i="5"/>
  <c r="E13" i="5"/>
  <c r="H13" i="5" s="1"/>
  <c r="AQ12" i="5"/>
  <c r="AJ12" i="5"/>
  <c r="W12" i="5"/>
  <c r="E12" i="5"/>
  <c r="H12" i="5" s="1"/>
  <c r="AC12" i="5"/>
  <c r="AQ9" i="5"/>
  <c r="AJ9" i="5"/>
  <c r="W9" i="5"/>
  <c r="AC9" i="5"/>
  <c r="E9" i="5"/>
  <c r="H9" i="5" s="1"/>
  <c r="AQ6" i="5"/>
  <c r="AC6" i="5"/>
  <c r="E6" i="5"/>
  <c r="H6" i="5" s="1"/>
  <c r="AJ6" i="5"/>
  <c r="W6" i="5"/>
  <c r="AQ20" i="5"/>
  <c r="AC20" i="5"/>
  <c r="W20" i="5"/>
  <c r="E20" i="5"/>
  <c r="H20" i="5" s="1"/>
  <c r="AJ20" i="5"/>
  <c r="AQ15" i="5"/>
  <c r="W15" i="5"/>
  <c r="AJ15" i="5"/>
  <c r="E15" i="5"/>
  <c r="H15" i="5" s="1"/>
  <c r="AC15" i="5"/>
  <c r="AQ11" i="5"/>
  <c r="E11" i="5"/>
  <c r="H11" i="5" s="1"/>
  <c r="W11" i="5"/>
  <c r="AJ11" i="5"/>
  <c r="AC11" i="5"/>
  <c r="AQ8" i="5"/>
  <c r="W8" i="5"/>
  <c r="AJ8" i="5"/>
  <c r="AC8" i="5"/>
  <c r="E8" i="5"/>
  <c r="H8" i="5" s="1"/>
  <c r="AQ5" i="5"/>
  <c r="E5" i="5"/>
  <c r="H5" i="5" s="1"/>
  <c r="AC5" i="5"/>
  <c r="W5" i="5"/>
  <c r="AJ5" i="5"/>
  <c r="AQ40" i="5"/>
  <c r="AC40" i="5"/>
  <c r="W40" i="5"/>
  <c r="AJ40" i="5"/>
  <c r="E40" i="5"/>
  <c r="H40" i="5" s="1"/>
  <c r="AQ14" i="5"/>
  <c r="AJ14" i="5"/>
  <c r="W14" i="5"/>
  <c r="E14" i="5"/>
  <c r="H14" i="5" s="1"/>
  <c r="AC14" i="5"/>
  <c r="AQ7" i="5"/>
  <c r="W7" i="5"/>
  <c r="AC7" i="5"/>
  <c r="E7" i="5"/>
  <c r="H7" i="5" s="1"/>
  <c r="AJ7" i="5"/>
  <c r="AQ4" i="5"/>
  <c r="AJ4" i="5"/>
  <c r="W4" i="5"/>
  <c r="AC4" i="5"/>
  <c r="E4" i="5"/>
  <c r="H4" i="5" s="1"/>
  <c r="AQ68" i="5"/>
  <c r="AC68" i="5"/>
  <c r="W68" i="5"/>
  <c r="E68" i="5"/>
  <c r="H68" i="5" s="1"/>
  <c r="AQ63" i="5"/>
  <c r="E63" i="5"/>
  <c r="H63" i="5" s="1"/>
  <c r="AC63" i="5"/>
  <c r="W63" i="5"/>
  <c r="AQ60" i="5"/>
  <c r="E60" i="5"/>
  <c r="H60" i="5" s="1"/>
  <c r="AC60" i="5"/>
  <c r="W60" i="5"/>
  <c r="AQ57" i="5"/>
  <c r="E57" i="5"/>
  <c r="H57" i="5" s="1"/>
  <c r="AC57" i="5"/>
  <c r="W57" i="5"/>
  <c r="AQ55" i="5"/>
  <c r="E55" i="5"/>
  <c r="H55" i="5" s="1"/>
  <c r="AC55" i="5"/>
  <c r="W55" i="5"/>
  <c r="AQ50" i="5"/>
  <c r="AC50" i="5"/>
  <c r="W50" i="5"/>
  <c r="E50" i="5"/>
  <c r="H50" i="5" s="1"/>
  <c r="AQ38" i="5"/>
  <c r="W38" i="5"/>
  <c r="E38" i="5"/>
  <c r="H38" i="5" s="1"/>
  <c r="AC38" i="5"/>
  <c r="AQ34" i="5"/>
  <c r="W34" i="5"/>
  <c r="E34" i="5"/>
  <c r="H34" i="5" s="1"/>
  <c r="AC34" i="5"/>
  <c r="AQ30" i="5"/>
  <c r="W30" i="5"/>
  <c r="AC30" i="5"/>
  <c r="E30" i="5"/>
  <c r="H30" i="5" s="1"/>
  <c r="AQ18" i="5"/>
  <c r="W18" i="5"/>
  <c r="AQ72" i="5"/>
  <c r="E72" i="5"/>
  <c r="H72" i="5" s="1"/>
  <c r="AC72" i="5"/>
  <c r="AQ53" i="5"/>
  <c r="W53" i="5"/>
  <c r="E53" i="5"/>
  <c r="H53" i="5" s="1"/>
  <c r="AC53" i="5"/>
  <c r="AQ47" i="5"/>
  <c r="E47" i="5"/>
  <c r="H47" i="5" s="1"/>
  <c r="W47" i="5"/>
  <c r="AC47" i="5"/>
  <c r="AQ43" i="5"/>
  <c r="E43" i="5"/>
  <c r="H43" i="5" s="1"/>
  <c r="AC43" i="5"/>
  <c r="W43" i="5"/>
  <c r="AQ39" i="5"/>
  <c r="AC39" i="5"/>
  <c r="W39" i="5"/>
  <c r="E39" i="5"/>
  <c r="H39" i="5" s="1"/>
  <c r="AQ36" i="5"/>
  <c r="E36" i="5"/>
  <c r="H36" i="5" s="1"/>
  <c r="W36" i="5"/>
  <c r="AC36" i="5"/>
  <c r="AQ33" i="5"/>
  <c r="W33" i="5"/>
  <c r="E33" i="5"/>
  <c r="H33" i="5" s="1"/>
  <c r="AC33" i="5"/>
  <c r="AQ71" i="5"/>
  <c r="AC71" i="5"/>
  <c r="W71" i="5"/>
  <c r="E71" i="5"/>
  <c r="H71" i="5" s="1"/>
  <c r="AQ67" i="5"/>
  <c r="E67" i="5"/>
  <c r="H67" i="5" s="1"/>
  <c r="AC67" i="5"/>
  <c r="W67" i="5"/>
  <c r="AQ65" i="5"/>
  <c r="AC65" i="5"/>
  <c r="W65" i="5"/>
  <c r="E65" i="5"/>
  <c r="H65" i="5" s="1"/>
  <c r="AQ61" i="5"/>
  <c r="AC61" i="5"/>
  <c r="W61" i="5"/>
  <c r="E61" i="5"/>
  <c r="H61" i="5" s="1"/>
  <c r="AQ58" i="5"/>
  <c r="AC58" i="5"/>
  <c r="E58" i="5"/>
  <c r="H58" i="5" s="1"/>
  <c r="W58" i="5"/>
  <c r="AQ54" i="5"/>
  <c r="AC54" i="5"/>
  <c r="W54" i="5"/>
  <c r="E54" i="5"/>
  <c r="H54" i="5" s="1"/>
  <c r="AQ51" i="5"/>
  <c r="AC51" i="5"/>
  <c r="E51" i="5"/>
  <c r="H51" i="5" s="1"/>
  <c r="W51" i="5"/>
  <c r="AQ48" i="5"/>
  <c r="W48" i="5"/>
  <c r="E48" i="5"/>
  <c r="H48" i="5" s="1"/>
  <c r="AC48" i="5"/>
  <c r="AQ45" i="5"/>
  <c r="W45" i="5"/>
  <c r="AC45" i="5"/>
  <c r="E45" i="5"/>
  <c r="H45" i="5" s="1"/>
  <c r="AQ42" i="5"/>
  <c r="E42" i="5"/>
  <c r="H42" i="5" s="1"/>
  <c r="W42" i="5"/>
  <c r="AC42" i="5"/>
  <c r="AQ37" i="5"/>
  <c r="AC37" i="5"/>
  <c r="W37" i="5"/>
  <c r="E37" i="5"/>
  <c r="H37" i="5" s="1"/>
  <c r="AQ32" i="5"/>
  <c r="W32" i="5"/>
  <c r="AC32" i="5"/>
  <c r="E32" i="5"/>
  <c r="H32" i="5" s="1"/>
  <c r="AQ28" i="5"/>
  <c r="AC28" i="5"/>
  <c r="W28" i="5"/>
  <c r="E28" i="5"/>
  <c r="H28" i="5" s="1"/>
  <c r="AQ25" i="5"/>
  <c r="E25" i="5"/>
  <c r="H25" i="5" s="1"/>
  <c r="W25" i="5"/>
  <c r="AC25" i="5"/>
  <c r="AQ22" i="5"/>
  <c r="AC22" i="5"/>
  <c r="E22" i="5"/>
  <c r="H22" i="5" s="1"/>
  <c r="W22" i="5"/>
  <c r="AQ19" i="5"/>
  <c r="E19" i="5"/>
  <c r="H19" i="5" s="1"/>
  <c r="AC19" i="5"/>
  <c r="W19" i="5"/>
  <c r="AQ70" i="5"/>
  <c r="AC70" i="5"/>
  <c r="E70" i="5"/>
  <c r="H70" i="5" s="1"/>
  <c r="W70" i="5"/>
  <c r="AQ69" i="5"/>
  <c r="W69" i="5"/>
  <c r="E69" i="5"/>
  <c r="H69" i="5" s="1"/>
  <c r="AC69" i="5"/>
  <c r="AQ66" i="5"/>
  <c r="AC66" i="5"/>
  <c r="E66" i="5"/>
  <c r="H66" i="5" s="1"/>
  <c r="W66" i="5"/>
  <c r="AQ62" i="5"/>
  <c r="E62" i="5"/>
  <c r="H62" i="5" s="1"/>
  <c r="AC62" i="5"/>
  <c r="W62" i="5"/>
  <c r="AQ59" i="5"/>
  <c r="W59" i="5"/>
  <c r="E59" i="5"/>
  <c r="H59" i="5" s="1"/>
  <c r="AC59" i="5"/>
  <c r="AQ56" i="5"/>
  <c r="AC56" i="5"/>
  <c r="E56" i="5"/>
  <c r="H56" i="5" s="1"/>
  <c r="W56" i="5"/>
  <c r="AQ52" i="5"/>
  <c r="W52" i="5"/>
  <c r="AC52" i="5"/>
  <c r="E52" i="5"/>
  <c r="H52" i="5" s="1"/>
  <c r="AQ49" i="5"/>
  <c r="E49" i="5"/>
  <c r="H49" i="5" s="1"/>
  <c r="AC49" i="5"/>
  <c r="W49" i="5"/>
  <c r="AQ46" i="5"/>
  <c r="AC46" i="5"/>
  <c r="E46" i="5"/>
  <c r="H46" i="5" s="1"/>
  <c r="W46" i="5"/>
  <c r="AQ44" i="5"/>
  <c r="E44" i="5"/>
  <c r="H44" i="5" s="1"/>
  <c r="AC44" i="5"/>
  <c r="W44" i="5"/>
  <c r="AQ41" i="5"/>
  <c r="E41" i="5"/>
  <c r="H41" i="5" s="1"/>
  <c r="AC41" i="5"/>
  <c r="W41" i="5"/>
  <c r="AQ35" i="5"/>
  <c r="E35" i="5"/>
  <c r="H35" i="5" s="1"/>
  <c r="AC35" i="5"/>
  <c r="W35" i="5"/>
  <c r="AQ31" i="5"/>
  <c r="E31" i="5"/>
  <c r="H31" i="5" s="1"/>
  <c r="AC31" i="5"/>
  <c r="W31" i="5"/>
  <c r="AQ29" i="5"/>
  <c r="W29" i="5"/>
  <c r="AC29" i="5"/>
  <c r="E29" i="5"/>
  <c r="H29" i="5" s="1"/>
  <c r="AQ26" i="5"/>
  <c r="W26" i="5"/>
  <c r="E26" i="5"/>
  <c r="H26" i="5" s="1"/>
  <c r="AC26" i="5"/>
  <c r="AQ24" i="5"/>
  <c r="E24" i="5"/>
  <c r="H24" i="5" s="1"/>
  <c r="W24" i="5"/>
  <c r="AC24" i="5"/>
  <c r="AQ21" i="5"/>
  <c r="W21" i="5"/>
  <c r="AC21" i="5"/>
  <c r="E21" i="5"/>
  <c r="H21" i="5" s="1"/>
  <c r="AQ17" i="5"/>
  <c r="E17" i="5"/>
  <c r="H17" i="5" s="1"/>
  <c r="W17" i="5"/>
  <c r="AC17" i="5"/>
  <c r="AQ16" i="5"/>
  <c r="W16" i="5"/>
  <c r="E16" i="5"/>
  <c r="H16" i="5" s="1"/>
  <c r="AC16" i="5"/>
  <c r="AQ10" i="5"/>
  <c r="E10" i="5"/>
  <c r="H10" i="5" s="1"/>
  <c r="AC10" i="5"/>
  <c r="W10" i="5"/>
  <c r="AQ64" i="5"/>
  <c r="E64" i="5"/>
  <c r="H64" i="5" s="1"/>
  <c r="AC64" i="5"/>
  <c r="W64" i="5"/>
  <c r="F72" i="7"/>
  <c r="J72" i="7"/>
  <c r="AE64" i="7"/>
  <c r="L72" i="7" s="1"/>
  <c r="AE65" i="7"/>
  <c r="M72" i="7" s="1"/>
  <c r="P73" i="5"/>
  <c r="E27" i="5"/>
  <c r="H27" i="5" s="1"/>
  <c r="AC27" i="5"/>
  <c r="W27" i="5"/>
  <c r="X65" i="7"/>
  <c r="M71" i="7" s="1"/>
  <c r="X64" i="7"/>
  <c r="L71" i="7" s="1"/>
  <c r="Q64" i="7"/>
  <c r="L70" i="7" s="1"/>
  <c r="Q65" i="7"/>
  <c r="M70" i="7" s="1"/>
  <c r="E49" i="6"/>
  <c r="H49" i="6" s="1"/>
  <c r="W49" i="6"/>
  <c r="AC49" i="6"/>
  <c r="W4" i="6"/>
  <c r="AC4" i="6"/>
  <c r="AC5" i="6"/>
  <c r="W5" i="6"/>
  <c r="E6" i="6"/>
  <c r="H6" i="6" s="1"/>
  <c r="W6" i="6"/>
  <c r="AC6" i="6"/>
  <c r="W7" i="6"/>
  <c r="AC7" i="6"/>
  <c r="AC8" i="6"/>
  <c r="W8" i="6"/>
  <c r="AC9" i="6"/>
  <c r="W9" i="6"/>
  <c r="AC10" i="6"/>
  <c r="W10" i="6"/>
  <c r="W11" i="6"/>
  <c r="AC11" i="6"/>
  <c r="W12" i="6"/>
  <c r="AC12" i="6"/>
  <c r="AC13" i="6"/>
  <c r="W13" i="6"/>
  <c r="AC14" i="6"/>
  <c r="W14" i="6"/>
  <c r="AC16" i="6"/>
  <c r="W16" i="6"/>
  <c r="AC17" i="6"/>
  <c r="W17" i="6"/>
  <c r="W18" i="6"/>
  <c r="AC18" i="6"/>
  <c r="AC19" i="6"/>
  <c r="E19" i="6"/>
  <c r="H19" i="6" s="1"/>
  <c r="W19" i="6"/>
  <c r="W20" i="6"/>
  <c r="AC20" i="6"/>
  <c r="AC21" i="6"/>
  <c r="W21" i="6"/>
  <c r="W22" i="6"/>
  <c r="AC22" i="6"/>
  <c r="W34" i="6"/>
  <c r="AC34" i="6"/>
  <c r="W35" i="6"/>
  <c r="AC35" i="6"/>
  <c r="E36" i="6"/>
  <c r="H36" i="6" s="1"/>
  <c r="W36" i="6"/>
  <c r="AC36" i="6"/>
  <c r="E4" i="6"/>
  <c r="H4" i="6" s="1"/>
  <c r="AJ56" i="6"/>
  <c r="X62" i="6" s="1"/>
  <c r="E5" i="6"/>
  <c r="H5" i="6" s="1"/>
  <c r="E7" i="6"/>
  <c r="H7" i="6" s="1"/>
  <c r="E8" i="6"/>
  <c r="H8" i="6" s="1"/>
  <c r="E9" i="6"/>
  <c r="H9" i="6" s="1"/>
  <c r="E10" i="6"/>
  <c r="H10" i="6" s="1"/>
  <c r="E11" i="6"/>
  <c r="H11" i="6" s="1"/>
  <c r="E12" i="6"/>
  <c r="H12" i="6" s="1"/>
  <c r="E13" i="6"/>
  <c r="H13" i="6" s="1"/>
  <c r="E14" i="6"/>
  <c r="H14" i="6" s="1"/>
  <c r="E15" i="6"/>
  <c r="H15" i="6" s="1"/>
  <c r="AC15" i="6"/>
  <c r="W15" i="6"/>
  <c r="E16" i="6"/>
  <c r="H16" i="6" s="1"/>
  <c r="E17" i="6"/>
  <c r="H17" i="6" s="1"/>
  <c r="E18" i="6"/>
  <c r="H18" i="6" s="1"/>
  <c r="E20" i="6"/>
  <c r="H20" i="6" s="1"/>
  <c r="E21" i="6"/>
  <c r="H21" i="6" s="1"/>
  <c r="E22" i="6"/>
  <c r="H22" i="6" s="1"/>
  <c r="E23" i="6"/>
  <c r="H23" i="6" s="1"/>
  <c r="W23" i="6"/>
  <c r="E24" i="6"/>
  <c r="H24" i="6" s="1"/>
  <c r="W24" i="6"/>
  <c r="AC24" i="6"/>
  <c r="E25" i="6"/>
  <c r="H25" i="6" s="1"/>
  <c r="W25" i="6"/>
  <c r="AC25" i="6"/>
  <c r="E26" i="6"/>
  <c r="H26" i="6" s="1"/>
  <c r="AC26" i="6"/>
  <c r="W26" i="6"/>
  <c r="E27" i="6"/>
  <c r="H27" i="6" s="1"/>
  <c r="W27" i="6"/>
  <c r="AC27" i="6"/>
  <c r="E28" i="6"/>
  <c r="H28" i="6" s="1"/>
  <c r="AC28" i="6"/>
  <c r="W28" i="6"/>
  <c r="E29" i="6"/>
  <c r="H29" i="6" s="1"/>
  <c r="W29" i="6"/>
  <c r="AC29" i="6"/>
  <c r="E30" i="6"/>
  <c r="H30" i="6" s="1"/>
  <c r="AC30" i="6"/>
  <c r="W30" i="6"/>
  <c r="E31" i="6"/>
  <c r="H31" i="6" s="1"/>
  <c r="AC31" i="6"/>
  <c r="W31" i="6"/>
  <c r="E32" i="6"/>
  <c r="H32" i="6" s="1"/>
  <c r="W32" i="6"/>
  <c r="AC32" i="6"/>
  <c r="E33" i="6"/>
  <c r="H33" i="6" s="1"/>
  <c r="AC33" i="6"/>
  <c r="W33" i="6"/>
  <c r="E34" i="6"/>
  <c r="H34" i="6" s="1"/>
  <c r="E35" i="6"/>
  <c r="H35" i="6" s="1"/>
  <c r="E37" i="6"/>
  <c r="H37" i="6" s="1"/>
  <c r="AC37" i="6"/>
  <c r="W37" i="6"/>
  <c r="E38" i="6"/>
  <c r="H38" i="6" s="1"/>
  <c r="W38" i="6"/>
  <c r="AC38" i="6"/>
  <c r="E39" i="6"/>
  <c r="H39" i="6" s="1"/>
  <c r="W39" i="6"/>
  <c r="AC39" i="6"/>
  <c r="E40" i="6"/>
  <c r="H40" i="6" s="1"/>
  <c r="W40" i="6"/>
  <c r="AC40" i="6"/>
  <c r="E41" i="6"/>
  <c r="H41" i="6" s="1"/>
  <c r="W41" i="6"/>
  <c r="AC41" i="6"/>
  <c r="E42" i="6"/>
  <c r="H42" i="6" s="1"/>
  <c r="AC42" i="6"/>
  <c r="W42" i="6"/>
  <c r="E43" i="6"/>
  <c r="H43" i="6" s="1"/>
  <c r="AC43" i="6"/>
  <c r="W43" i="6"/>
  <c r="E44" i="6"/>
  <c r="H44" i="6" s="1"/>
  <c r="W44" i="6"/>
  <c r="AC44" i="6"/>
  <c r="E45" i="6"/>
  <c r="H45" i="6" s="1"/>
  <c r="W45" i="6"/>
  <c r="AC45" i="6"/>
  <c r="E46" i="6"/>
  <c r="H46" i="6" s="1"/>
  <c r="W46" i="6"/>
  <c r="AC46" i="6"/>
  <c r="E47" i="6"/>
  <c r="H47" i="6" s="1"/>
  <c r="AC47" i="6"/>
  <c r="W47" i="6"/>
  <c r="E48" i="6"/>
  <c r="H48" i="6" s="1"/>
  <c r="W48" i="6"/>
  <c r="AC48" i="6"/>
  <c r="AJ74" i="5" l="1"/>
  <c r="X79" i="5" s="1"/>
  <c r="AJ73" i="5"/>
  <c r="W79" i="5" s="1"/>
  <c r="W56" i="6"/>
  <c r="X61" i="6" s="1"/>
  <c r="AC56" i="6"/>
  <c r="X60" i="6" s="1"/>
  <c r="AQ74" i="5"/>
  <c r="X80" i="5" s="1"/>
  <c r="AQ73" i="5"/>
  <c r="W80" i="5" s="1"/>
  <c r="H1" i="5"/>
  <c r="AC73" i="5"/>
  <c r="W77" i="5" s="1"/>
  <c r="AC74" i="5"/>
  <c r="X77" i="5" s="1"/>
  <c r="W73" i="5"/>
  <c r="W78" i="5" s="1"/>
  <c r="W74" i="5"/>
  <c r="X78" i="5" s="1"/>
  <c r="AC55" i="6"/>
  <c r="W60" i="6" s="1"/>
  <c r="W55" i="6"/>
  <c r="W61" i="6" s="1"/>
  <c r="H1" i="6"/>
</calcChain>
</file>

<file path=xl/sharedStrings.xml><?xml version="1.0" encoding="utf-8"?>
<sst xmlns="http://schemas.openxmlformats.org/spreadsheetml/2006/main" count="886" uniqueCount="278">
  <si>
    <t>Theoretical values (ertello)</t>
  </si>
  <si>
    <t>Heuristic</t>
  </si>
  <si>
    <t>COP</t>
  </si>
  <si>
    <t>CSP</t>
  </si>
  <si>
    <t>SET</t>
  </si>
  <si>
    <t>INSTANCE</t>
  </si>
  <si>
    <t>NODES</t>
  </si>
  <si>
    <t>EDGES</t>
  </si>
  <si>
    <t>Theoretical</t>
  </si>
  <si>
    <t>validation</t>
  </si>
  <si>
    <t>nodes</t>
  </si>
  <si>
    <t>edges</t>
  </si>
  <si>
    <t>densité</t>
  </si>
  <si>
    <t>degrée</t>
  </si>
  <si>
    <t>delta</t>
  </si>
  <si>
    <t>LB</t>
  </si>
  <si>
    <t>UB</t>
  </si>
  <si>
    <t>Best</t>
  </si>
  <si>
    <t>FO</t>
  </si>
  <si>
    <t>Total time (s)</t>
  </si>
  <si>
    <t>Time to best(s)</t>
  </si>
  <si>
    <t>DesvStd</t>
  </si>
  <si>
    <t>Runtime</t>
  </si>
  <si>
    <t>Standard</t>
  </si>
  <si>
    <t>k5</t>
  </si>
  <si>
    <t>0,47</t>
  </si>
  <si>
    <t>--</t>
  </si>
  <si>
    <t>star5</t>
  </si>
  <si>
    <t>0,51</t>
  </si>
  <si>
    <t>wheel5</t>
  </si>
  <si>
    <t>0,49</t>
  </si>
  <si>
    <t>bipartite3x3</t>
  </si>
  <si>
    <t>0,5</t>
  </si>
  <si>
    <t>k6</t>
  </si>
  <si>
    <t>0,53</t>
  </si>
  <si>
    <t>mobiousLadder6</t>
  </si>
  <si>
    <t>0,54</t>
  </si>
  <si>
    <t>bipartite3x4</t>
  </si>
  <si>
    <t>0,59</t>
  </si>
  <si>
    <t>k7</t>
  </si>
  <si>
    <t>0,62</t>
  </si>
  <si>
    <t>star7</t>
  </si>
  <si>
    <t>tree2x2</t>
  </si>
  <si>
    <t>0,56</t>
  </si>
  <si>
    <t>wheel7</t>
  </si>
  <si>
    <t>bipartite4x4</t>
  </si>
  <si>
    <t>4,26</t>
  </si>
  <si>
    <t>mobiousLadder8</t>
  </si>
  <si>
    <t>4,42</t>
  </si>
  <si>
    <t>c3xc3</t>
  </si>
  <si>
    <t>6,42</t>
  </si>
  <si>
    <t>dStar6-3</t>
  </si>
  <si>
    <t>6,14</t>
  </si>
  <si>
    <t>k3xk3</t>
  </si>
  <si>
    <t>6,05</t>
  </si>
  <si>
    <t>p3xp3</t>
  </si>
  <si>
    <t>5,98</t>
  </si>
  <si>
    <t>st3xst3</t>
  </si>
  <si>
    <t>5,93</t>
  </si>
  <si>
    <t>bipartite5x5</t>
  </si>
  <si>
    <t>773,13</t>
  </si>
  <si>
    <t>cycle10</t>
  </si>
  <si>
    <t>790,36</t>
  </si>
  <si>
    <t>cyclePow10-2</t>
  </si>
  <si>
    <t>787,46</t>
  </si>
  <si>
    <t>dStar5-5</t>
  </si>
  <si>
    <t>788,88</t>
  </si>
  <si>
    <t>k10</t>
  </si>
  <si>
    <t>775,28</t>
  </si>
  <si>
    <t>mobiousLadder10</t>
  </si>
  <si>
    <t>774,41</t>
  </si>
  <si>
    <t>path10</t>
  </si>
  <si>
    <t>776,23</t>
  </si>
  <si>
    <t>petersen</t>
  </si>
  <si>
    <t>763,57</t>
  </si>
  <si>
    <t>star10</t>
  </si>
  <si>
    <t>765,59</t>
  </si>
  <si>
    <t>wheel10</t>
  </si>
  <si>
    <t>770,62</t>
  </si>
  <si>
    <t>cyclePow11-2</t>
  </si>
  <si>
    <t>1062,41</t>
  </si>
  <si>
    <t>c3xc4</t>
  </si>
  <si>
    <t>1289,29</t>
  </si>
  <si>
    <t>c3xk4</t>
  </si>
  <si>
    <t>1290,53</t>
  </si>
  <si>
    <t>cyclePow12-2</t>
  </si>
  <si>
    <t>1280,76</t>
  </si>
  <si>
    <t>dStar6-6</t>
  </si>
  <si>
    <t>1289,41</t>
  </si>
  <si>
    <t>dStar8-4</t>
  </si>
  <si>
    <t>1317,78</t>
  </si>
  <si>
    <t>mobiousLadder12</t>
  </si>
  <si>
    <t>1293,34</t>
  </si>
  <si>
    <t>p3xk4</t>
  </si>
  <si>
    <t>1295,04</t>
  </si>
  <si>
    <t>p4xc3</t>
  </si>
  <si>
    <t>1272,36</t>
  </si>
  <si>
    <t>tree2x3</t>
  </si>
  <si>
    <t>1795,15</t>
  </si>
  <si>
    <t>bipartite7x8</t>
  </si>
  <si>
    <t>cycle15</t>
  </si>
  <si>
    <t>path15</t>
  </si>
  <si>
    <t>star15</t>
  </si>
  <si>
    <t>tree3x2</t>
  </si>
  <si>
    <t>wheel15</t>
  </si>
  <si>
    <t>c4xc4</t>
  </si>
  <si>
    <t>dStar8-8</t>
  </si>
  <si>
    <t>k4xk4</t>
  </si>
  <si>
    <t>mobiousLadder16</t>
  </si>
  <si>
    <t>p4xc4</t>
  </si>
  <si>
    <t>p4xp4</t>
  </si>
  <si>
    <t>st4xst4</t>
  </si>
  <si>
    <t>c4xc5</t>
  </si>
  <si>
    <t>c4xk5</t>
  </si>
  <si>
    <t>cycle20</t>
  </si>
  <si>
    <t>p4xk5</t>
  </si>
  <si>
    <t>p5xc4</t>
  </si>
  <si>
    <t>path20</t>
  </si>
  <si>
    <t>star20</t>
  </si>
  <si>
    <t>wheel20</t>
  </si>
  <si>
    <t>tree2x4</t>
  </si>
  <si>
    <t>c5xc5</t>
  </si>
  <si>
    <t>p5xc5</t>
  </si>
  <si>
    <t>p5xp5</t>
  </si>
  <si>
    <t>st5xst5</t>
  </si>
  <si>
    <t>p6xc5</t>
  </si>
  <si>
    <t>p6xp6</t>
  </si>
  <si>
    <t>Harwell-Boeing</t>
  </si>
  <si>
    <t>pores_1</t>
  </si>
  <si>
    <t>ibm32</t>
  </si>
  <si>
    <t>bcspwr01</t>
  </si>
  <si>
    <t>bcsstk01</t>
  </si>
  <si>
    <t>bcspwr02</t>
  </si>
  <si>
    <t>curtis54</t>
  </si>
  <si>
    <t>will57</t>
  </si>
  <si>
    <t>impcol_b</t>
  </si>
  <si>
    <t>steam3</t>
  </si>
  <si>
    <t>ash85</t>
  </si>
  <si>
    <t>nos4</t>
  </si>
  <si>
    <t>gent113</t>
  </si>
  <si>
    <t>bcsstk22</t>
  </si>
  <si>
    <t>bcspwr03</t>
  </si>
  <si>
    <t>arc130</t>
  </si>
  <si>
    <t>bcsstk04</t>
  </si>
  <si>
    <t>west0132</t>
  </si>
  <si>
    <t>impcol_c</t>
  </si>
  <si>
    <t>lund_a</t>
  </si>
  <si>
    <t>lund_b</t>
  </si>
  <si>
    <t>bcsstk05</t>
  </si>
  <si>
    <t>west0156</t>
  </si>
  <si>
    <t>nos1</t>
  </si>
  <si>
    <t>west0167</t>
  </si>
  <si>
    <t>mcca</t>
  </si>
  <si>
    <t>fs_183_1</t>
  </si>
  <si>
    <t>will199</t>
  </si>
  <si>
    <t>bcspwr04</t>
  </si>
  <si>
    <t>ash292</t>
  </si>
  <si>
    <t>plat362</t>
  </si>
  <si>
    <t>bcspwr05</t>
  </si>
  <si>
    <t>bcsstk20</t>
  </si>
  <si>
    <t>494_bus</t>
  </si>
  <si>
    <t>nos2</t>
  </si>
  <si>
    <t>662_bus</t>
  </si>
  <si>
    <t>nos6</t>
  </si>
  <si>
    <t>685_bus</t>
  </si>
  <si>
    <t>nos7</t>
  </si>
  <si>
    <t>bcsstk19</t>
  </si>
  <si>
    <t>gr_30_30</t>
  </si>
  <si>
    <t>nos3</t>
  </si>
  <si>
    <t>Avg.</t>
  </si>
  <si>
    <t>Worst</t>
  </si>
  <si>
    <t>triangleNew6</t>
  </si>
  <si>
    <t>triangleNew10</t>
  </si>
  <si>
    <t>triangleNew15</t>
  </si>
  <si>
    <t>triangleNew21</t>
  </si>
  <si>
    <t>Iterations</t>
  </si>
  <si>
    <t>Dev</t>
  </si>
  <si>
    <t xml:space="preserve">Iter. </t>
  </si>
  <si>
    <t>MA</t>
  </si>
  <si>
    <t>Evaluations</t>
  </si>
  <si>
    <t>Total Time</t>
  </si>
  <si>
    <t>Time to Best</t>
  </si>
  <si>
    <t>Fo</t>
  </si>
  <si>
    <t>Instance</t>
  </si>
  <si>
    <t>n</t>
  </si>
  <si>
    <t>m</t>
  </si>
  <si>
    <t>Density</t>
  </si>
  <si>
    <t>cspDOP_OF</t>
  </si>
  <si>
    <t>cspDOP_Time</t>
  </si>
  <si>
    <t>cspDOP_Dev</t>
  </si>
  <si>
    <t>CBMA_OF</t>
  </si>
  <si>
    <t>CBMA_Time</t>
  </si>
  <si>
    <t>CBMA_TimeToBest</t>
  </si>
  <si>
    <t>CBMA_Dev</t>
  </si>
  <si>
    <t>impcol_a</t>
  </si>
  <si>
    <t>-</t>
  </si>
  <si>
    <t>gre_216a</t>
  </si>
  <si>
    <t>impcol_e</t>
  </si>
  <si>
    <t>saylr1</t>
  </si>
  <si>
    <t>steam1</t>
  </si>
  <si>
    <t>nnc261</t>
  </si>
  <si>
    <t>can_292</t>
  </si>
  <si>
    <t>gre_343</t>
  </si>
  <si>
    <t>plskz362</t>
  </si>
  <si>
    <t>str_0</t>
  </si>
  <si>
    <t>str_200</t>
  </si>
  <si>
    <t>str_600</t>
  </si>
  <si>
    <t>west0381</t>
  </si>
  <si>
    <t>dwt_419</t>
  </si>
  <si>
    <t>bcsstk06</t>
  </si>
  <si>
    <t>bcsstm07</t>
  </si>
  <si>
    <t>impcol_d</t>
  </si>
  <si>
    <t>hor_131</t>
  </si>
  <si>
    <t>can_445</t>
  </si>
  <si>
    <t>pores_3</t>
  </si>
  <si>
    <t>nos5</t>
  </si>
  <si>
    <t>west0479</t>
  </si>
  <si>
    <t>mbeacxc</t>
  </si>
  <si>
    <t>mbeaflw</t>
  </si>
  <si>
    <t>mbeause</t>
  </si>
  <si>
    <t>west0497</t>
  </si>
  <si>
    <t>dwt_503</t>
  </si>
  <si>
    <t>lns_511</t>
  </si>
  <si>
    <t>gre_512</t>
  </si>
  <si>
    <t>fs_541_1</t>
  </si>
  <si>
    <t>sherman4</t>
  </si>
  <si>
    <t>dwt_592</t>
  </si>
  <si>
    <t>steam2</t>
  </si>
  <si>
    <t>west0655</t>
  </si>
  <si>
    <t>shl_0</t>
  </si>
  <si>
    <t>shl_200</t>
  </si>
  <si>
    <t>shl_400</t>
  </si>
  <si>
    <t>nnc666</t>
  </si>
  <si>
    <t>fs_680_1</t>
  </si>
  <si>
    <t>saylr3</t>
  </si>
  <si>
    <t>sherman1</t>
  </si>
  <si>
    <t>mcfe</t>
  </si>
  <si>
    <t>fs_760_1</t>
  </si>
  <si>
    <t>bp_0</t>
  </si>
  <si>
    <t>bp_1000</t>
  </si>
  <si>
    <t>bp_1200</t>
  </si>
  <si>
    <t>bp_1400</t>
  </si>
  <si>
    <t>bp_1600</t>
  </si>
  <si>
    <t>bp_200</t>
  </si>
  <si>
    <t>bp_400</t>
  </si>
  <si>
    <t>bp_600</t>
  </si>
  <si>
    <t>bp_800</t>
  </si>
  <si>
    <t>can_838</t>
  </si>
  <si>
    <t>orsirr_2</t>
  </si>
  <si>
    <t>jagmesh1</t>
  </si>
  <si>
    <t>jpwh_991</t>
  </si>
  <si>
    <t>west0989</t>
  </si>
  <si>
    <t>dwt_992</t>
  </si>
  <si>
    <t>Average</t>
  </si>
  <si>
    <t>MS</t>
  </si>
  <si>
    <t>DRSA</t>
  </si>
  <si>
    <t>Avg</t>
  </si>
  <si>
    <t>dwt_918</t>
  </si>
  <si>
    <t>dwt_878</t>
  </si>
  <si>
    <t>can_715</t>
  </si>
  <si>
    <t>dwt_361</t>
  </si>
  <si>
    <t>dwt_310</t>
  </si>
  <si>
    <t>dwt_245</t>
  </si>
  <si>
    <t>dwt_221</t>
  </si>
  <si>
    <t>dwt_209</t>
  </si>
  <si>
    <t>gre_185</t>
  </si>
  <si>
    <t>can_161</t>
  </si>
  <si>
    <t>can_144</t>
  </si>
  <si>
    <t>lns_131</t>
  </si>
  <si>
    <t>dwt_234</t>
  </si>
  <si>
    <t>gre_115</t>
  </si>
  <si>
    <t>SA</t>
  </si>
  <si>
    <t>TTB</t>
  </si>
  <si>
    <t>Iter</t>
  </si>
  <si>
    <t>Best FO</t>
  </si>
  <si>
    <t>Avg. FO</t>
  </si>
  <si>
    <t>Worst FO</t>
  </si>
  <si>
    <t>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</si>
</sst>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000"/>
  </numFmts>
  <fonts count="11">
    <font>
      <sz val="10"/>
      <color rgb="FF000000"/>
      <name val="Arial"/>
      <scheme val="minor"/>
    </font>
    <font>
      <sz val="8"/>
      <color theme="1"/>
      <name val="&quot;Liberation Sans&quot;"/>
    </font>
    <font>
      <sz val="8"/>
      <color rgb="FFFFFF00"/>
      <name val="&quot;Liberation Sans&quot;"/>
    </font>
    <font>
      <b/>
      <sz val="8"/>
      <color rgb="FFFFFFFF"/>
      <name val="&quot;Liberation Sans&quot;"/>
    </font>
    <font>
      <b/>
      <sz val="8"/>
      <color rgb="FFFFFFFF"/>
      <name val="Arial"/>
      <family val="2"/>
    </font>
    <font>
      <sz val="10"/>
      <color theme="1"/>
      <name val="Arial"/>
      <family val="2"/>
      <scheme val="minor"/>
    </font>
    <font>
      <sz val="8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FF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2A6099"/>
        <bgColor rgb="FF2A6099"/>
      </patternFill>
    </fill>
    <fill>
      <patternFill patternType="solid">
        <fgColor rgb="FF333333"/>
        <bgColor rgb="FF333333"/>
      </patternFill>
    </fill>
    <fill>
      <patternFill patternType="solid">
        <fgColor rgb="FF00A933"/>
        <bgColor rgb="FF00A933"/>
      </patternFill>
    </fill>
    <fill>
      <patternFill patternType="solid">
        <fgColor rgb="FF5B277D"/>
        <bgColor rgb="FF5B277D"/>
      </patternFill>
    </fill>
    <fill>
      <patternFill patternType="solid">
        <fgColor rgb="FFFF0000"/>
        <bgColor rgb="FFFF0000"/>
      </patternFill>
    </fill>
    <fill>
      <patternFill patternType="solid">
        <fgColor rgb="FFFF860D"/>
        <bgColor rgb="FFFF860D"/>
      </patternFill>
    </fill>
    <fill>
      <patternFill patternType="solid">
        <fgColor rgb="FFFFFFA6"/>
        <bgColor rgb="FFFFFFA6"/>
      </patternFill>
    </fill>
    <fill>
      <patternFill patternType="solid">
        <fgColor theme="9"/>
        <bgColor rgb="FFFF860D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rgb="FFFF860D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7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3" fontId="3" fillId="5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8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3" fontId="5" fillId="0" borderId="0" xfId="0" applyNumberFormat="1" applyFont="1"/>
    <xf numFmtId="0" fontId="5" fillId="0" borderId="0" xfId="0" applyFont="1" applyAlignment="1">
      <alignment horizontal="right"/>
    </xf>
    <xf numFmtId="10" fontId="1" fillId="0" borderId="0" xfId="1" applyNumberFormat="1" applyFont="1" applyAlignment="1">
      <alignment horizontal="center"/>
    </xf>
    <xf numFmtId="10" fontId="0" fillId="0" borderId="0" xfId="1" applyNumberFormat="1" applyFont="1"/>
    <xf numFmtId="2" fontId="0" fillId="0" borderId="0" xfId="0" applyNumberFormat="1"/>
    <xf numFmtId="165" fontId="0" fillId="0" borderId="0" xfId="0" applyNumberFormat="1"/>
    <xf numFmtId="10" fontId="1" fillId="0" borderId="0" xfId="1" applyNumberFormat="1" applyFont="1" applyAlignment="1">
      <alignment horizontal="left"/>
    </xf>
    <xf numFmtId="166" fontId="0" fillId="0" borderId="0" xfId="0" applyNumberFormat="1"/>
    <xf numFmtId="4" fontId="1" fillId="0" borderId="0" xfId="0" applyNumberFormat="1" applyFont="1" applyAlignment="1">
      <alignment horizontal="center"/>
    </xf>
    <xf numFmtId="0" fontId="3" fillId="9" borderId="0" xfId="0" applyFont="1" applyFill="1" applyAlignment="1">
      <alignment horizontal="center"/>
    </xf>
    <xf numFmtId="2" fontId="0" fillId="0" borderId="0" xfId="1" applyNumberFormat="1" applyFont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7" fillId="12" borderId="0" xfId="0" applyFont="1" applyFill="1"/>
    <xf numFmtId="0" fontId="3" fillId="13" borderId="0" xfId="0" applyFont="1" applyFill="1" applyAlignment="1">
      <alignment horizontal="center"/>
    </xf>
    <xf numFmtId="1" fontId="1" fillId="0" borderId="0" xfId="1" applyNumberFormat="1" applyFont="1" applyAlignment="1">
      <alignment horizontal="center"/>
    </xf>
    <xf numFmtId="2" fontId="7" fillId="0" borderId="0" xfId="0" applyNumberFormat="1" applyFont="1"/>
    <xf numFmtId="10" fontId="7" fillId="0" borderId="0" xfId="0" applyNumberFormat="1" applyFont="1"/>
    <xf numFmtId="164" fontId="5" fillId="0" borderId="0" xfId="0" applyNumberFormat="1" applyFont="1"/>
    <xf numFmtId="1" fontId="7" fillId="0" borderId="3" xfId="0" applyNumberFormat="1" applyFont="1" applyBorder="1"/>
    <xf numFmtId="10" fontId="7" fillId="0" borderId="0" xfId="1" applyNumberFormat="1" applyFont="1" applyBorder="1"/>
    <xf numFmtId="2" fontId="7" fillId="0" borderId="5" xfId="0" applyNumberFormat="1" applyFont="1" applyBorder="1"/>
    <xf numFmtId="164" fontId="5" fillId="0" borderId="5" xfId="0" applyNumberFormat="1" applyFont="1" applyBorder="1"/>
    <xf numFmtId="10" fontId="7" fillId="0" borderId="5" xfId="1" applyNumberFormat="1" applyFont="1" applyBorder="1"/>
    <xf numFmtId="1" fontId="7" fillId="0" borderId="6" xfId="0" applyNumberFormat="1" applyFont="1" applyBorder="1"/>
    <xf numFmtId="0" fontId="8" fillId="0" borderId="7" xfId="0" applyFont="1" applyBorder="1"/>
    <xf numFmtId="0" fontId="8" fillId="0" borderId="8" xfId="0" applyFont="1" applyBorder="1"/>
    <xf numFmtId="3" fontId="9" fillId="0" borderId="8" xfId="0" applyNumberFormat="1" applyFont="1" applyBorder="1"/>
    <xf numFmtId="0" fontId="8" fillId="0" borderId="9" xfId="0" applyFont="1" applyBorder="1"/>
    <xf numFmtId="0" fontId="8" fillId="0" borderId="1" xfId="0" applyFont="1" applyBorder="1"/>
    <xf numFmtId="0" fontId="8" fillId="0" borderId="2" xfId="0" applyFont="1" applyBorder="1"/>
    <xf numFmtId="0" fontId="8" fillId="0" borderId="4" xfId="0" applyFont="1" applyBorder="1"/>
    <xf numFmtId="3" fontId="8" fillId="0" borderId="8" xfId="0" applyNumberFormat="1" applyFont="1" applyBorder="1"/>
    <xf numFmtId="164" fontId="7" fillId="0" borderId="0" xfId="0" applyNumberFormat="1" applyFont="1"/>
    <xf numFmtId="164" fontId="7" fillId="0" borderId="5" xfId="0" applyNumberFormat="1" applyFont="1" applyBorder="1"/>
    <xf numFmtId="10" fontId="7" fillId="0" borderId="5" xfId="0" applyNumberFormat="1" applyFont="1" applyBorder="1"/>
    <xf numFmtId="2" fontId="7" fillId="14" borderId="0" xfId="0" applyNumberFormat="1" applyFont="1" applyFill="1"/>
    <xf numFmtId="164" fontId="7" fillId="14" borderId="0" xfId="0" applyNumberFormat="1" applyFont="1" applyFill="1"/>
    <xf numFmtId="10" fontId="7" fillId="14" borderId="0" xfId="0" applyNumberFormat="1" applyFont="1" applyFill="1"/>
    <xf numFmtId="1" fontId="7" fillId="14" borderId="3" xfId="0" applyNumberFormat="1" applyFont="1" applyFill="1" applyBorder="1"/>
    <xf numFmtId="0" fontId="10" fillId="14" borderId="2" xfId="0" applyFont="1" applyFill="1" applyBorder="1"/>
    <xf numFmtId="0" fontId="7" fillId="11" borderId="0" xfId="0" applyFont="1" applyFill="1"/>
    <xf numFmtId="0" fontId="7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7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/>
    <xf numFmtId="0" fontId="3" fillId="5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2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D5476-8CE9-914F-A2A8-83517ADEA261}">
  <sheetPr>
    <outlinePr summaryBelow="0" summaryRight="0"/>
  </sheetPr>
  <dimension ref="A1:AQ938"/>
  <sheetViews>
    <sheetView topLeftCell="L1" zoomScale="150" workbookViewId="0">
      <pane ySplit="2" topLeftCell="A43" activePane="bottomLeft" state="frozen"/>
      <selection pane="bottomLeft" activeCell="V61" sqref="A1:AQ74"/>
    </sheetView>
  </sheetViews>
  <sheetFormatPr baseColWidth="10" defaultColWidth="12.6640625" defaultRowHeight="15.75" customHeight="1"/>
  <cols>
    <col min="1" max="1" width="10" customWidth="1"/>
    <col min="2" max="2" width="11.6640625" customWidth="1"/>
    <col min="3" max="4" width="5.6640625" customWidth="1"/>
    <col min="5" max="5" width="8.1640625" customWidth="1"/>
    <col min="6" max="6" width="6.6640625" customWidth="1"/>
    <col min="7" max="7" width="9" customWidth="1"/>
    <col min="8" max="8" width="9.1640625" customWidth="1"/>
    <col min="9" max="9" width="9" customWidth="1"/>
    <col min="10" max="10" width="4.83203125" customWidth="1"/>
    <col min="11" max="11" width="15.6640625" customWidth="1"/>
    <col min="12" max="12" width="5.33203125" customWidth="1"/>
    <col min="13" max="13" width="4.1640625" customWidth="1"/>
    <col min="14" max="14" width="7.6640625" bestFit="1" customWidth="1"/>
    <col min="15" max="15" width="2.83203125" customWidth="1"/>
    <col min="16" max="16" width="8.6640625" bestFit="1" customWidth="1"/>
    <col min="17" max="19" width="6.6640625" customWidth="1"/>
    <col min="20" max="20" width="9" customWidth="1"/>
    <col min="21" max="21" width="9.1640625" customWidth="1"/>
    <col min="22" max="22" width="10.5" customWidth="1"/>
    <col min="23" max="23" width="11" bestFit="1" customWidth="1"/>
    <col min="24" max="24" width="7.83203125" customWidth="1"/>
    <col min="25" max="25" width="3.6640625" customWidth="1"/>
    <col min="26" max="26" width="2.83203125" customWidth="1"/>
    <col min="27" max="27" width="6.1640625" customWidth="1"/>
    <col min="28" max="28" width="7.1640625" customWidth="1"/>
    <col min="29" max="29" width="8" customWidth="1"/>
  </cols>
  <sheetData>
    <row r="1" spans="1:43" ht="15.75" customHeight="1">
      <c r="A1" s="1"/>
      <c r="B1" s="1"/>
      <c r="C1" s="1"/>
      <c r="D1" s="1"/>
      <c r="E1" s="2"/>
      <c r="F1" s="2"/>
      <c r="G1" s="3" t="str">
        <f>COUNTA($A$3:$A$72)-COUNTBLANK($G$3:$G$72) &amp; " done"</f>
        <v>70 done</v>
      </c>
      <c r="H1" s="3" t="str">
        <f>COUNTIF(H3:$H$72,"=CHECK") &amp; " to check"</f>
        <v>0 to check</v>
      </c>
      <c r="I1" s="69" t="s">
        <v>0</v>
      </c>
      <c r="J1" s="70"/>
      <c r="K1" s="70"/>
      <c r="L1" s="70"/>
      <c r="M1" s="70"/>
      <c r="N1" s="70"/>
      <c r="O1" s="70"/>
      <c r="P1" s="70"/>
      <c r="Q1" s="71" t="s">
        <v>1</v>
      </c>
      <c r="R1" s="71"/>
      <c r="S1" s="71"/>
      <c r="T1" s="71"/>
      <c r="U1" s="70"/>
      <c r="V1" s="70"/>
      <c r="W1" s="70"/>
      <c r="X1" s="6" t="s">
        <v>2</v>
      </c>
      <c r="Y1" s="72" t="s">
        <v>3</v>
      </c>
      <c r="Z1" s="70"/>
      <c r="AA1" s="70"/>
      <c r="AB1" s="70"/>
      <c r="AC1" s="8"/>
      <c r="AD1" s="67" t="s">
        <v>178</v>
      </c>
      <c r="AE1" s="67"/>
      <c r="AF1" s="67"/>
      <c r="AG1" s="67"/>
      <c r="AH1" s="67"/>
      <c r="AI1" s="67"/>
      <c r="AJ1" s="67"/>
      <c r="AK1" s="68" t="s">
        <v>255</v>
      </c>
      <c r="AL1" s="68"/>
      <c r="AM1" s="68"/>
      <c r="AN1" s="68"/>
      <c r="AO1" s="68"/>
      <c r="AP1" s="68"/>
      <c r="AQ1" s="68"/>
    </row>
    <row r="2" spans="1:43" ht="15.75" customHeight="1">
      <c r="A2" s="9" t="s">
        <v>4</v>
      </c>
      <c r="B2" s="9" t="s">
        <v>5</v>
      </c>
      <c r="C2" s="9" t="s">
        <v>6</v>
      </c>
      <c r="D2" s="9" t="s">
        <v>7</v>
      </c>
      <c r="E2" s="10" t="s">
        <v>8</v>
      </c>
      <c r="F2" s="10" t="s">
        <v>1</v>
      </c>
      <c r="G2" s="10" t="s">
        <v>3</v>
      </c>
      <c r="H2" s="10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5" t="s">
        <v>18</v>
      </c>
      <c r="R2" s="5" t="s">
        <v>169</v>
      </c>
      <c r="S2" s="5" t="s">
        <v>170</v>
      </c>
      <c r="T2" s="5" t="s">
        <v>175</v>
      </c>
      <c r="U2" s="11" t="s">
        <v>19</v>
      </c>
      <c r="V2" s="11" t="s">
        <v>20</v>
      </c>
      <c r="W2" s="5" t="s">
        <v>21</v>
      </c>
      <c r="X2" s="6" t="s">
        <v>22</v>
      </c>
      <c r="Y2" s="7" t="s">
        <v>15</v>
      </c>
      <c r="Z2" s="7" t="s">
        <v>16</v>
      </c>
      <c r="AA2" s="7" t="s">
        <v>17</v>
      </c>
      <c r="AB2" s="7" t="s">
        <v>22</v>
      </c>
      <c r="AC2" s="7" t="s">
        <v>176</v>
      </c>
      <c r="AD2" s="29" t="s">
        <v>179</v>
      </c>
      <c r="AE2" s="29" t="s">
        <v>180</v>
      </c>
      <c r="AF2" s="29" t="s">
        <v>181</v>
      </c>
      <c r="AG2" s="29" t="s">
        <v>274</v>
      </c>
      <c r="AH2" s="29" t="s">
        <v>275</v>
      </c>
      <c r="AI2" s="29" t="s">
        <v>276</v>
      </c>
      <c r="AJ2" s="29" t="s">
        <v>176</v>
      </c>
      <c r="AK2" s="35" t="s">
        <v>175</v>
      </c>
      <c r="AL2" s="35" t="s">
        <v>180</v>
      </c>
      <c r="AM2" s="35" t="s">
        <v>181</v>
      </c>
      <c r="AN2" s="35" t="s">
        <v>182</v>
      </c>
      <c r="AO2" s="35" t="s">
        <v>256</v>
      </c>
      <c r="AP2" s="35" t="s">
        <v>170</v>
      </c>
      <c r="AQ2" s="35" t="s">
        <v>176</v>
      </c>
    </row>
    <row r="3" spans="1:43" ht="15.75" customHeight="1">
      <c r="A3" s="12" t="s">
        <v>23</v>
      </c>
      <c r="B3" s="13" t="s">
        <v>71</v>
      </c>
      <c r="C3" s="12">
        <v>10</v>
      </c>
      <c r="D3" s="12">
        <v>9</v>
      </c>
      <c r="E3" s="14">
        <f t="shared" ref="E3:F34" si="0">P3</f>
        <v>1</v>
      </c>
      <c r="F3" s="14">
        <f>Q3</f>
        <v>1</v>
      </c>
      <c r="G3" s="14">
        <f t="shared" ref="G3:G66" si="1">AA3</f>
        <v>1</v>
      </c>
      <c r="H3" s="14" t="str">
        <f t="shared" ref="H3:H66" si="2">IF(OR(E3=G3,F3=G3),"OK","CHECK")</f>
        <v>OK</v>
      </c>
      <c r="I3" s="12">
        <v>10</v>
      </c>
      <c r="J3" s="12">
        <v>9</v>
      </c>
      <c r="K3" s="12">
        <v>2</v>
      </c>
      <c r="L3" s="12">
        <v>9</v>
      </c>
      <c r="M3" s="12">
        <v>1</v>
      </c>
      <c r="N3" s="12">
        <v>1</v>
      </c>
      <c r="O3" s="12">
        <v>3</v>
      </c>
      <c r="P3" s="12">
        <f>MIN(F3:G3,AG3,AN3)</f>
        <v>1</v>
      </c>
      <c r="Q3" s="12">
        <v>1</v>
      </c>
      <c r="R3" s="12">
        <v>1</v>
      </c>
      <c r="S3" s="12">
        <v>1</v>
      </c>
      <c r="T3" s="12">
        <v>1</v>
      </c>
      <c r="U3" s="15">
        <v>9.1420900000000003E-4</v>
      </c>
      <c r="V3" s="15">
        <v>4.67625E-4</v>
      </c>
      <c r="W3" s="22">
        <f>(Q3-P3)/P3</f>
        <v>0</v>
      </c>
      <c r="X3" s="12" t="s">
        <v>72</v>
      </c>
      <c r="Y3" s="12" t="s">
        <v>26</v>
      </c>
      <c r="Z3" s="12" t="s">
        <v>26</v>
      </c>
      <c r="AA3" s="12">
        <v>1</v>
      </c>
      <c r="AB3" s="17">
        <v>1.67</v>
      </c>
      <c r="AC3" s="26">
        <f>(AA3-P3)/P3</f>
        <v>0</v>
      </c>
      <c r="AD3">
        <v>90</v>
      </c>
      <c r="AE3">
        <v>1.3180000000000001</v>
      </c>
      <c r="AF3">
        <v>1.7000000000000001E-2</v>
      </c>
      <c r="AG3">
        <v>1</v>
      </c>
      <c r="AH3">
        <v>1</v>
      </c>
      <c r="AI3">
        <v>1</v>
      </c>
      <c r="AJ3">
        <f>(AG3-P3)/P3</f>
        <v>0</v>
      </c>
      <c r="AK3">
        <v>5</v>
      </c>
      <c r="AL3">
        <v>0.46</v>
      </c>
      <c r="AM3">
        <v>0.09</v>
      </c>
      <c r="AN3">
        <v>1</v>
      </c>
      <c r="AO3">
        <v>1</v>
      </c>
      <c r="AP3">
        <v>1</v>
      </c>
      <c r="AQ3">
        <f>(AN3-P3)/P3</f>
        <v>0</v>
      </c>
    </row>
    <row r="4" spans="1:43" ht="15.75" customHeight="1">
      <c r="A4" s="12" t="s">
        <v>23</v>
      </c>
      <c r="B4" s="13" t="s">
        <v>101</v>
      </c>
      <c r="C4" s="12">
        <v>15</v>
      </c>
      <c r="D4" s="12">
        <v>14</v>
      </c>
      <c r="E4" s="14">
        <f t="shared" si="0"/>
        <v>1</v>
      </c>
      <c r="F4" s="14">
        <f t="shared" si="0"/>
        <v>1</v>
      </c>
      <c r="G4" s="14">
        <f t="shared" si="1"/>
        <v>1</v>
      </c>
      <c r="H4" s="14" t="str">
        <f t="shared" si="2"/>
        <v>OK</v>
      </c>
      <c r="I4" s="12">
        <v>15</v>
      </c>
      <c r="J4" s="12">
        <v>14</v>
      </c>
      <c r="K4" s="12">
        <v>2</v>
      </c>
      <c r="L4" s="12">
        <v>14</v>
      </c>
      <c r="M4" s="12">
        <v>1</v>
      </c>
      <c r="N4" s="12">
        <v>1</v>
      </c>
      <c r="O4" s="12">
        <v>3</v>
      </c>
      <c r="P4" s="12">
        <f t="shared" ref="P4:P67" si="3">MIN(F4:G4,AG4)</f>
        <v>1</v>
      </c>
      <c r="Q4" s="12">
        <v>1</v>
      </c>
      <c r="R4" s="12">
        <v>1</v>
      </c>
      <c r="S4" s="12">
        <v>1</v>
      </c>
      <c r="T4" s="12">
        <v>1</v>
      </c>
      <c r="U4" s="15">
        <v>6.4593330000000003E-3</v>
      </c>
      <c r="V4" s="15">
        <v>6.9691700000000002E-4</v>
      </c>
      <c r="W4" s="22">
        <f t="shared" ref="W4:W67" si="4">(Q4-P4)/P4</f>
        <v>0</v>
      </c>
      <c r="X4" s="12"/>
      <c r="Y4" s="12" t="s">
        <v>26</v>
      </c>
      <c r="Z4" s="12" t="s">
        <v>26</v>
      </c>
      <c r="AA4" s="12">
        <v>1</v>
      </c>
      <c r="AB4" s="17">
        <v>1.82</v>
      </c>
      <c r="AC4" s="26">
        <f t="shared" ref="AC4:AC67" si="5">(AA4-P4)/P4</f>
        <v>0</v>
      </c>
      <c r="AD4">
        <v>250</v>
      </c>
      <c r="AE4">
        <v>7.8579999999999997</v>
      </c>
      <c r="AF4">
        <v>0.97299999999999998</v>
      </c>
      <c r="AG4">
        <v>1</v>
      </c>
      <c r="AH4">
        <v>1.98</v>
      </c>
      <c r="AI4">
        <v>2</v>
      </c>
      <c r="AJ4">
        <f t="shared" ref="AJ4:AJ67" si="6">(AG4-P4)/P4</f>
        <v>0</v>
      </c>
      <c r="AK4">
        <v>5</v>
      </c>
      <c r="AL4">
        <v>0.25</v>
      </c>
      <c r="AM4">
        <v>0.09</v>
      </c>
      <c r="AN4">
        <v>1</v>
      </c>
      <c r="AO4">
        <v>1.4</v>
      </c>
      <c r="AP4">
        <v>2</v>
      </c>
      <c r="AQ4">
        <f t="shared" ref="AQ4:AQ67" si="7">(AN4-P4)/P4</f>
        <v>0</v>
      </c>
    </row>
    <row r="5" spans="1:43" ht="15.75" customHeight="1">
      <c r="A5" s="12" t="s">
        <v>23</v>
      </c>
      <c r="B5" s="13" t="s">
        <v>117</v>
      </c>
      <c r="C5" s="12">
        <v>20</v>
      </c>
      <c r="D5" s="12">
        <v>19</v>
      </c>
      <c r="E5" s="14">
        <f t="shared" si="0"/>
        <v>1</v>
      </c>
      <c r="F5" s="14">
        <f t="shared" si="0"/>
        <v>1</v>
      </c>
      <c r="G5" s="14">
        <f t="shared" si="1"/>
        <v>1</v>
      </c>
      <c r="H5" s="14" t="str">
        <f t="shared" si="2"/>
        <v>OK</v>
      </c>
      <c r="I5" s="12">
        <v>20</v>
      </c>
      <c r="J5" s="12">
        <v>19</v>
      </c>
      <c r="K5" s="12">
        <v>2</v>
      </c>
      <c r="L5" s="12">
        <v>19</v>
      </c>
      <c r="M5" s="12">
        <v>1</v>
      </c>
      <c r="N5" s="12">
        <v>1</v>
      </c>
      <c r="O5" s="12">
        <v>4</v>
      </c>
      <c r="P5" s="12">
        <f t="shared" si="3"/>
        <v>1</v>
      </c>
      <c r="Q5" s="12">
        <v>1</v>
      </c>
      <c r="R5" s="12">
        <v>1</v>
      </c>
      <c r="S5" s="12">
        <v>1</v>
      </c>
      <c r="T5" s="12">
        <v>1</v>
      </c>
      <c r="U5" s="15">
        <v>2.748875E-3</v>
      </c>
      <c r="V5" s="15">
        <v>1.738E-3</v>
      </c>
      <c r="W5" s="22">
        <f t="shared" si="4"/>
        <v>0</v>
      </c>
      <c r="X5" s="12"/>
      <c r="Y5" s="12" t="s">
        <v>26</v>
      </c>
      <c r="Z5" s="12" t="s">
        <v>26</v>
      </c>
      <c r="AA5" s="12">
        <v>1</v>
      </c>
      <c r="AB5" s="17">
        <v>2.62</v>
      </c>
      <c r="AC5" s="26">
        <f t="shared" si="5"/>
        <v>0</v>
      </c>
      <c r="AD5">
        <v>250</v>
      </c>
      <c r="AE5">
        <v>20.82</v>
      </c>
      <c r="AF5">
        <v>7.3999999999999996E-2</v>
      </c>
      <c r="AG5">
        <v>2</v>
      </c>
      <c r="AH5">
        <v>2.08</v>
      </c>
      <c r="AI5">
        <v>3</v>
      </c>
      <c r="AJ5">
        <f t="shared" si="6"/>
        <v>1</v>
      </c>
      <c r="AK5">
        <v>5</v>
      </c>
      <c r="AL5">
        <v>0.24</v>
      </c>
      <c r="AM5">
        <v>0.05</v>
      </c>
      <c r="AN5">
        <v>2</v>
      </c>
      <c r="AO5">
        <v>2</v>
      </c>
      <c r="AP5">
        <v>2</v>
      </c>
      <c r="AQ5">
        <f t="shared" si="7"/>
        <v>1</v>
      </c>
    </row>
    <row r="6" spans="1:43" ht="15.75" customHeight="1">
      <c r="A6" s="12" t="s">
        <v>23</v>
      </c>
      <c r="B6" s="13" t="s">
        <v>61</v>
      </c>
      <c r="C6" s="12">
        <v>10</v>
      </c>
      <c r="D6" s="12">
        <v>10</v>
      </c>
      <c r="E6" s="14">
        <f t="shared" si="0"/>
        <v>1</v>
      </c>
      <c r="F6" s="14">
        <f t="shared" si="0"/>
        <v>1</v>
      </c>
      <c r="G6" s="14">
        <f t="shared" si="1"/>
        <v>1</v>
      </c>
      <c r="H6" s="14" t="str">
        <f t="shared" si="2"/>
        <v>OK</v>
      </c>
      <c r="I6" s="12">
        <v>10</v>
      </c>
      <c r="J6" s="12">
        <v>10</v>
      </c>
      <c r="K6" s="12">
        <v>2</v>
      </c>
      <c r="L6" s="12">
        <v>5</v>
      </c>
      <c r="M6" s="12">
        <v>1</v>
      </c>
      <c r="N6" s="12">
        <v>1</v>
      </c>
      <c r="O6" s="12">
        <v>3</v>
      </c>
      <c r="P6" s="12">
        <f t="shared" si="3"/>
        <v>1</v>
      </c>
      <c r="Q6" s="12">
        <v>1</v>
      </c>
      <c r="R6" s="12">
        <v>1</v>
      </c>
      <c r="S6" s="12">
        <v>1</v>
      </c>
      <c r="T6" s="12">
        <v>1</v>
      </c>
      <c r="U6" s="15">
        <v>5.3266249999999998E-3</v>
      </c>
      <c r="V6" s="15">
        <v>2.421917E-3</v>
      </c>
      <c r="W6" s="22">
        <f t="shared" si="4"/>
        <v>0</v>
      </c>
      <c r="X6" s="12" t="s">
        <v>62</v>
      </c>
      <c r="Y6" s="12" t="s">
        <v>26</v>
      </c>
      <c r="Z6" s="12" t="s">
        <v>26</v>
      </c>
      <c r="AA6" s="12">
        <v>1</v>
      </c>
      <c r="AB6" s="17">
        <v>1.44</v>
      </c>
      <c r="AC6" s="26">
        <f t="shared" si="5"/>
        <v>0</v>
      </c>
      <c r="AD6">
        <v>250</v>
      </c>
      <c r="AE6">
        <v>4.5359999999999996</v>
      </c>
      <c r="AF6">
        <v>1.4E-2</v>
      </c>
      <c r="AG6">
        <v>1</v>
      </c>
      <c r="AH6">
        <v>1.01</v>
      </c>
      <c r="AI6">
        <v>2</v>
      </c>
      <c r="AJ6">
        <f t="shared" si="6"/>
        <v>0</v>
      </c>
      <c r="AK6">
        <v>5</v>
      </c>
      <c r="AL6">
        <v>0.4</v>
      </c>
      <c r="AM6">
        <v>0.06</v>
      </c>
      <c r="AN6">
        <v>1</v>
      </c>
      <c r="AO6">
        <v>1</v>
      </c>
      <c r="AP6">
        <v>1</v>
      </c>
      <c r="AQ6">
        <f t="shared" si="7"/>
        <v>0</v>
      </c>
    </row>
    <row r="7" spans="1:43" ht="15.75" customHeight="1">
      <c r="A7" s="12" t="s">
        <v>23</v>
      </c>
      <c r="B7" s="13" t="s">
        <v>100</v>
      </c>
      <c r="C7" s="12">
        <v>15</v>
      </c>
      <c r="D7" s="12">
        <v>15</v>
      </c>
      <c r="E7" s="14">
        <f t="shared" si="0"/>
        <v>1</v>
      </c>
      <c r="F7" s="14">
        <f t="shared" si="0"/>
        <v>1</v>
      </c>
      <c r="G7" s="14">
        <f t="shared" si="1"/>
        <v>1</v>
      </c>
      <c r="H7" s="14" t="str">
        <f t="shared" si="2"/>
        <v>OK</v>
      </c>
      <c r="I7" s="12">
        <v>15</v>
      </c>
      <c r="J7" s="12">
        <v>15</v>
      </c>
      <c r="K7" s="12">
        <v>2</v>
      </c>
      <c r="L7" s="12">
        <v>7</v>
      </c>
      <c r="M7" s="12">
        <v>1</v>
      </c>
      <c r="N7" s="12">
        <v>1</v>
      </c>
      <c r="O7" s="12">
        <v>3</v>
      </c>
      <c r="P7" s="12">
        <f t="shared" si="3"/>
        <v>1</v>
      </c>
      <c r="Q7" s="12">
        <v>1</v>
      </c>
      <c r="R7" s="12">
        <v>1</v>
      </c>
      <c r="S7" s="12">
        <v>1</v>
      </c>
      <c r="T7" s="12">
        <v>1</v>
      </c>
      <c r="U7" s="15">
        <v>6</v>
      </c>
      <c r="V7" s="15">
        <v>1</v>
      </c>
      <c r="W7" s="22">
        <f t="shared" si="4"/>
        <v>0</v>
      </c>
      <c r="X7" s="12"/>
      <c r="Y7" s="12" t="s">
        <v>26</v>
      </c>
      <c r="Z7" s="12" t="s">
        <v>26</v>
      </c>
      <c r="AA7" s="12">
        <v>1</v>
      </c>
      <c r="AB7" s="17">
        <v>1.67</v>
      </c>
      <c r="AC7" s="26">
        <f t="shared" si="5"/>
        <v>0</v>
      </c>
      <c r="AD7">
        <v>250</v>
      </c>
      <c r="AE7">
        <v>9.3330000000000002</v>
      </c>
      <c r="AF7">
        <v>1.49</v>
      </c>
      <c r="AG7">
        <v>1</v>
      </c>
      <c r="AH7">
        <v>2</v>
      </c>
      <c r="AI7">
        <v>2</v>
      </c>
      <c r="AJ7">
        <f t="shared" si="6"/>
        <v>0</v>
      </c>
      <c r="AK7">
        <v>5</v>
      </c>
      <c r="AL7">
        <v>0.23</v>
      </c>
      <c r="AM7">
        <v>0.05</v>
      </c>
      <c r="AN7">
        <v>2</v>
      </c>
      <c r="AO7">
        <v>2</v>
      </c>
      <c r="AP7">
        <v>2</v>
      </c>
      <c r="AQ7">
        <f t="shared" si="7"/>
        <v>1</v>
      </c>
    </row>
    <row r="8" spans="1:43" ht="15.75" customHeight="1">
      <c r="A8" s="12" t="s">
        <v>23</v>
      </c>
      <c r="B8" s="13" t="s">
        <v>114</v>
      </c>
      <c r="C8" s="12">
        <v>20</v>
      </c>
      <c r="D8" s="12">
        <v>20</v>
      </c>
      <c r="E8" s="14">
        <f t="shared" si="0"/>
        <v>1</v>
      </c>
      <c r="F8" s="14">
        <f t="shared" si="0"/>
        <v>1</v>
      </c>
      <c r="G8" s="14">
        <f t="shared" si="1"/>
        <v>1</v>
      </c>
      <c r="H8" s="14" t="str">
        <f t="shared" si="2"/>
        <v>OK</v>
      </c>
      <c r="I8" s="12">
        <v>20</v>
      </c>
      <c r="J8" s="12">
        <v>20</v>
      </c>
      <c r="K8" s="12">
        <v>2</v>
      </c>
      <c r="L8" s="12">
        <v>10</v>
      </c>
      <c r="M8" s="12">
        <v>1</v>
      </c>
      <c r="N8" s="12">
        <v>1</v>
      </c>
      <c r="O8" s="12">
        <v>4</v>
      </c>
      <c r="P8" s="12">
        <f t="shared" si="3"/>
        <v>1</v>
      </c>
      <c r="Q8" s="12">
        <v>1</v>
      </c>
      <c r="R8" s="12">
        <v>1</v>
      </c>
      <c r="S8" s="12">
        <v>1</v>
      </c>
      <c r="T8" s="12">
        <v>1</v>
      </c>
      <c r="U8" s="15">
        <v>1.0399500000000001E-2</v>
      </c>
      <c r="V8" s="15">
        <v>4.803E-3</v>
      </c>
      <c r="W8" s="22">
        <f t="shared" si="4"/>
        <v>0</v>
      </c>
      <c r="X8" s="12"/>
      <c r="Y8" s="12" t="s">
        <v>26</v>
      </c>
      <c r="Z8" s="12" t="s">
        <v>26</v>
      </c>
      <c r="AA8" s="12">
        <v>1</v>
      </c>
      <c r="AB8" s="17">
        <v>2.19</v>
      </c>
      <c r="AC8" s="26">
        <f t="shared" si="5"/>
        <v>0</v>
      </c>
      <c r="AD8">
        <v>250</v>
      </c>
      <c r="AE8">
        <v>26.556000000000001</v>
      </c>
      <c r="AF8">
        <v>0.14399999999999999</v>
      </c>
      <c r="AG8">
        <v>2</v>
      </c>
      <c r="AH8">
        <v>2.15</v>
      </c>
      <c r="AI8">
        <v>3</v>
      </c>
      <c r="AJ8">
        <f t="shared" si="6"/>
        <v>1</v>
      </c>
      <c r="AK8">
        <v>5</v>
      </c>
      <c r="AL8">
        <v>0.24</v>
      </c>
      <c r="AM8">
        <v>0.1</v>
      </c>
      <c r="AN8">
        <v>2</v>
      </c>
      <c r="AO8">
        <v>2</v>
      </c>
      <c r="AP8">
        <v>2</v>
      </c>
      <c r="AQ8">
        <f t="shared" si="7"/>
        <v>1</v>
      </c>
    </row>
    <row r="9" spans="1:43" ht="15.75" customHeight="1">
      <c r="A9" s="12" t="s">
        <v>23</v>
      </c>
      <c r="B9" s="13" t="s">
        <v>73</v>
      </c>
      <c r="C9" s="12">
        <v>10</v>
      </c>
      <c r="D9" s="12">
        <v>15</v>
      </c>
      <c r="E9" s="14">
        <f t="shared" si="0"/>
        <v>2</v>
      </c>
      <c r="F9" s="14">
        <f t="shared" si="0"/>
        <v>2</v>
      </c>
      <c r="G9" s="14">
        <f t="shared" si="1"/>
        <v>2</v>
      </c>
      <c r="H9" s="14" t="str">
        <f t="shared" si="2"/>
        <v>OK</v>
      </c>
      <c r="I9" s="12">
        <v>10</v>
      </c>
      <c r="J9" s="12">
        <v>15</v>
      </c>
      <c r="K9" s="12">
        <v>3</v>
      </c>
      <c r="L9" s="12">
        <v>2</v>
      </c>
      <c r="M9" s="12">
        <v>2</v>
      </c>
      <c r="N9" s="12">
        <v>2</v>
      </c>
      <c r="O9" s="12">
        <v>3</v>
      </c>
      <c r="P9" s="12">
        <f t="shared" si="3"/>
        <v>2</v>
      </c>
      <c r="Q9" s="12">
        <v>2</v>
      </c>
      <c r="R9" s="12">
        <v>2</v>
      </c>
      <c r="S9" s="12">
        <v>2</v>
      </c>
      <c r="T9" s="12">
        <v>90</v>
      </c>
      <c r="U9" s="15">
        <v>4.7913042000000003E-2</v>
      </c>
      <c r="V9" s="15">
        <v>5.8441700000000005E-4</v>
      </c>
      <c r="W9" s="22">
        <f t="shared" si="4"/>
        <v>0</v>
      </c>
      <c r="X9" s="12" t="s">
        <v>74</v>
      </c>
      <c r="Y9" s="12" t="s">
        <v>26</v>
      </c>
      <c r="Z9" s="12" t="s">
        <v>26</v>
      </c>
      <c r="AA9" s="18">
        <v>2</v>
      </c>
      <c r="AB9" s="19">
        <v>0.81</v>
      </c>
      <c r="AC9" s="26">
        <f t="shared" si="5"/>
        <v>0</v>
      </c>
      <c r="AD9">
        <v>90</v>
      </c>
      <c r="AE9">
        <v>1.2030000000000001</v>
      </c>
      <c r="AF9">
        <v>1.4999999999999999E-2</v>
      </c>
      <c r="AG9">
        <v>2</v>
      </c>
      <c r="AH9">
        <v>2</v>
      </c>
      <c r="AI9">
        <v>2</v>
      </c>
      <c r="AJ9">
        <f t="shared" si="6"/>
        <v>0</v>
      </c>
      <c r="AK9">
        <v>5</v>
      </c>
      <c r="AL9">
        <v>0.23</v>
      </c>
      <c r="AM9">
        <v>0.05</v>
      </c>
      <c r="AN9">
        <v>2</v>
      </c>
      <c r="AO9">
        <v>2</v>
      </c>
      <c r="AP9">
        <v>2</v>
      </c>
      <c r="AQ9">
        <f t="shared" si="7"/>
        <v>0</v>
      </c>
    </row>
    <row r="10" spans="1:43" ht="15.75" customHeight="1">
      <c r="A10" s="12" t="s">
        <v>23</v>
      </c>
      <c r="B10" s="13" t="s">
        <v>24</v>
      </c>
      <c r="C10" s="12">
        <v>5</v>
      </c>
      <c r="D10" s="12">
        <v>10</v>
      </c>
      <c r="E10" s="14">
        <f t="shared" si="0"/>
        <v>2</v>
      </c>
      <c r="F10" s="14">
        <f t="shared" si="0"/>
        <v>2</v>
      </c>
      <c r="G10" s="14">
        <f t="shared" si="1"/>
        <v>2</v>
      </c>
      <c r="H10" s="14" t="str">
        <f t="shared" si="2"/>
        <v>OK</v>
      </c>
      <c r="I10" s="12">
        <v>5</v>
      </c>
      <c r="J10" s="12">
        <v>10</v>
      </c>
      <c r="K10" s="12">
        <v>4</v>
      </c>
      <c r="L10" s="12">
        <v>1</v>
      </c>
      <c r="M10" s="12">
        <v>2</v>
      </c>
      <c r="N10" s="12">
        <v>2</v>
      </c>
      <c r="O10" s="12">
        <v>2</v>
      </c>
      <c r="P10" s="12">
        <f t="shared" si="3"/>
        <v>2</v>
      </c>
      <c r="Q10" s="12">
        <v>2</v>
      </c>
      <c r="R10" s="12">
        <v>2</v>
      </c>
      <c r="S10" s="12">
        <v>2</v>
      </c>
      <c r="T10" s="12">
        <v>90</v>
      </c>
      <c r="U10" s="15">
        <v>2.9649333E-2</v>
      </c>
      <c r="V10" s="15">
        <v>2.4666000000000001E-5</v>
      </c>
      <c r="W10" s="22">
        <f t="shared" si="4"/>
        <v>0</v>
      </c>
      <c r="X10" s="12" t="s">
        <v>25</v>
      </c>
      <c r="Y10" s="12" t="s">
        <v>26</v>
      </c>
      <c r="Z10" s="12" t="s">
        <v>26</v>
      </c>
      <c r="AA10" s="12">
        <v>2</v>
      </c>
      <c r="AB10" s="17">
        <v>1.58</v>
      </c>
      <c r="AC10" s="26">
        <f t="shared" si="5"/>
        <v>0</v>
      </c>
      <c r="AD10">
        <v>90</v>
      </c>
      <c r="AE10">
        <v>0.47499999999999998</v>
      </c>
      <c r="AF10">
        <v>5.0000000000000001E-3</v>
      </c>
      <c r="AG10">
        <v>2</v>
      </c>
      <c r="AH10">
        <v>2</v>
      </c>
      <c r="AI10">
        <v>2</v>
      </c>
      <c r="AJ10">
        <f t="shared" si="6"/>
        <v>0</v>
      </c>
      <c r="AK10">
        <v>5</v>
      </c>
      <c r="AL10">
        <v>0.17</v>
      </c>
      <c r="AM10">
        <v>0.04</v>
      </c>
      <c r="AN10">
        <v>2</v>
      </c>
      <c r="AO10">
        <v>2</v>
      </c>
      <c r="AP10">
        <v>2</v>
      </c>
      <c r="AQ10">
        <f t="shared" si="7"/>
        <v>0</v>
      </c>
    </row>
    <row r="11" spans="1:43" ht="15.75" customHeight="1">
      <c r="A11" s="12" t="s">
        <v>23</v>
      </c>
      <c r="B11" s="13" t="s">
        <v>33</v>
      </c>
      <c r="C11" s="12">
        <v>6</v>
      </c>
      <c r="D11" s="12">
        <v>15</v>
      </c>
      <c r="E11" s="14">
        <f t="shared" si="0"/>
        <v>2</v>
      </c>
      <c r="F11" s="14">
        <f t="shared" si="0"/>
        <v>2</v>
      </c>
      <c r="G11" s="14">
        <f t="shared" si="1"/>
        <v>2</v>
      </c>
      <c r="H11" s="14" t="str">
        <f t="shared" si="2"/>
        <v>OK</v>
      </c>
      <c r="I11" s="12">
        <v>6</v>
      </c>
      <c r="J11" s="12">
        <v>15</v>
      </c>
      <c r="K11" s="12">
        <v>5</v>
      </c>
      <c r="L11" s="12">
        <v>1</v>
      </c>
      <c r="M11" s="12">
        <v>2</v>
      </c>
      <c r="N11" s="12">
        <v>2</v>
      </c>
      <c r="O11" s="12">
        <v>2</v>
      </c>
      <c r="P11" s="12">
        <f t="shared" si="3"/>
        <v>2</v>
      </c>
      <c r="Q11" s="12">
        <v>2</v>
      </c>
      <c r="R11" s="12">
        <v>2</v>
      </c>
      <c r="S11" s="12">
        <v>2</v>
      </c>
      <c r="T11" s="12">
        <v>90</v>
      </c>
      <c r="U11" s="15">
        <v>3.8976292000000003E-2</v>
      </c>
      <c r="V11" s="15">
        <v>4.8166700000000002E-4</v>
      </c>
      <c r="W11" s="22">
        <f t="shared" si="4"/>
        <v>0</v>
      </c>
      <c r="X11" s="12" t="s">
        <v>34</v>
      </c>
      <c r="Y11" s="12" t="s">
        <v>26</v>
      </c>
      <c r="Z11" s="12" t="s">
        <v>26</v>
      </c>
      <c r="AA11" s="12">
        <v>2</v>
      </c>
      <c r="AB11" s="17">
        <v>0.83</v>
      </c>
      <c r="AC11" s="26">
        <f t="shared" si="5"/>
        <v>0</v>
      </c>
      <c r="AD11">
        <v>90</v>
      </c>
      <c r="AE11">
        <v>0.55600000000000005</v>
      </c>
      <c r="AF11">
        <v>7.0000000000000001E-3</v>
      </c>
      <c r="AG11">
        <v>2</v>
      </c>
      <c r="AH11">
        <v>2</v>
      </c>
      <c r="AI11">
        <v>2</v>
      </c>
      <c r="AJ11">
        <f t="shared" si="6"/>
        <v>0</v>
      </c>
      <c r="AK11">
        <v>5</v>
      </c>
      <c r="AL11">
        <v>0.21</v>
      </c>
      <c r="AM11">
        <v>0.04</v>
      </c>
      <c r="AN11">
        <v>2</v>
      </c>
      <c r="AO11">
        <v>2</v>
      </c>
      <c r="AP11">
        <v>2</v>
      </c>
      <c r="AQ11">
        <f t="shared" si="7"/>
        <v>0</v>
      </c>
    </row>
    <row r="12" spans="1:43" ht="15.75" customHeight="1">
      <c r="A12" s="12" t="s">
        <v>23</v>
      </c>
      <c r="B12" s="13" t="s">
        <v>39</v>
      </c>
      <c r="C12" s="12">
        <v>7</v>
      </c>
      <c r="D12" s="12">
        <v>21</v>
      </c>
      <c r="E12" s="14">
        <f t="shared" si="0"/>
        <v>2</v>
      </c>
      <c r="F12" s="14">
        <f t="shared" si="0"/>
        <v>2</v>
      </c>
      <c r="G12" s="14">
        <f t="shared" si="1"/>
        <v>2</v>
      </c>
      <c r="H12" s="14" t="str">
        <f t="shared" si="2"/>
        <v>OK</v>
      </c>
      <c r="I12" s="12">
        <v>7</v>
      </c>
      <c r="J12" s="12">
        <v>21</v>
      </c>
      <c r="K12" s="12">
        <v>6</v>
      </c>
      <c r="L12" s="12">
        <v>1</v>
      </c>
      <c r="M12" s="12">
        <v>2</v>
      </c>
      <c r="N12" s="12">
        <v>2</v>
      </c>
      <c r="O12" s="12">
        <v>2</v>
      </c>
      <c r="P12" s="12">
        <f t="shared" si="3"/>
        <v>2</v>
      </c>
      <c r="Q12" s="12">
        <v>2</v>
      </c>
      <c r="R12" s="12">
        <v>2</v>
      </c>
      <c r="S12" s="12">
        <v>2</v>
      </c>
      <c r="T12" s="12">
        <v>90</v>
      </c>
      <c r="U12" s="15">
        <v>5.8641125000000002E-2</v>
      </c>
      <c r="V12" s="15">
        <v>5.4075E-4</v>
      </c>
      <c r="W12" s="22">
        <f t="shared" si="4"/>
        <v>0</v>
      </c>
      <c r="X12" s="12" t="s">
        <v>40</v>
      </c>
      <c r="Y12" s="12" t="s">
        <v>26</v>
      </c>
      <c r="Z12" s="12" t="s">
        <v>26</v>
      </c>
      <c r="AA12" s="12">
        <v>2</v>
      </c>
      <c r="AB12" s="17">
        <v>0.83</v>
      </c>
      <c r="AC12" s="26">
        <f t="shared" si="5"/>
        <v>0</v>
      </c>
      <c r="AD12">
        <v>90</v>
      </c>
      <c r="AE12">
        <v>0.66500000000000004</v>
      </c>
      <c r="AF12">
        <v>7.0000000000000001E-3</v>
      </c>
      <c r="AG12">
        <v>2</v>
      </c>
      <c r="AH12">
        <v>2</v>
      </c>
      <c r="AI12">
        <v>2</v>
      </c>
      <c r="AJ12">
        <f t="shared" si="6"/>
        <v>0</v>
      </c>
      <c r="AK12">
        <v>5</v>
      </c>
      <c r="AL12">
        <v>0.24</v>
      </c>
      <c r="AM12">
        <v>0.05</v>
      </c>
      <c r="AN12">
        <v>2</v>
      </c>
      <c r="AO12">
        <v>2</v>
      </c>
      <c r="AP12">
        <v>2</v>
      </c>
      <c r="AQ12">
        <f t="shared" si="7"/>
        <v>0</v>
      </c>
    </row>
    <row r="13" spans="1:43" ht="15.75" customHeight="1">
      <c r="A13" s="12" t="s">
        <v>23</v>
      </c>
      <c r="B13" s="13" t="s">
        <v>67</v>
      </c>
      <c r="C13" s="12">
        <v>10</v>
      </c>
      <c r="D13" s="12">
        <v>45</v>
      </c>
      <c r="E13" s="14">
        <f t="shared" si="0"/>
        <v>3</v>
      </c>
      <c r="F13" s="14">
        <f t="shared" si="0"/>
        <v>3</v>
      </c>
      <c r="G13" s="14">
        <f t="shared" si="1"/>
        <v>3</v>
      </c>
      <c r="H13" s="14" t="str">
        <f t="shared" si="2"/>
        <v>OK</v>
      </c>
      <c r="I13" s="12">
        <v>10</v>
      </c>
      <c r="J13" s="12">
        <v>45</v>
      </c>
      <c r="K13" s="12">
        <v>9</v>
      </c>
      <c r="L13" s="12">
        <v>1</v>
      </c>
      <c r="M13" s="12">
        <v>3</v>
      </c>
      <c r="N13" s="12">
        <v>3</v>
      </c>
      <c r="O13" s="12">
        <v>3</v>
      </c>
      <c r="P13" s="12">
        <f t="shared" si="3"/>
        <v>3</v>
      </c>
      <c r="Q13" s="12">
        <v>3</v>
      </c>
      <c r="R13" s="12">
        <v>3</v>
      </c>
      <c r="S13" s="12">
        <v>3</v>
      </c>
      <c r="T13" s="12">
        <v>90</v>
      </c>
      <c r="U13" s="15">
        <v>0.12799195899999999</v>
      </c>
      <c r="V13" s="15">
        <v>4.4084E-5</v>
      </c>
      <c r="W13" s="22">
        <f t="shared" si="4"/>
        <v>0</v>
      </c>
      <c r="X13" s="12" t="s">
        <v>68</v>
      </c>
      <c r="Y13" s="12" t="s">
        <v>26</v>
      </c>
      <c r="Z13" s="12" t="s">
        <v>26</v>
      </c>
      <c r="AA13" s="12">
        <v>3</v>
      </c>
      <c r="AB13" s="17">
        <v>4.82</v>
      </c>
      <c r="AC13" s="26">
        <f t="shared" si="5"/>
        <v>0</v>
      </c>
      <c r="AD13">
        <v>90</v>
      </c>
      <c r="AE13">
        <v>1.1599999999999999</v>
      </c>
      <c r="AF13">
        <v>1.2999999999999999E-2</v>
      </c>
      <c r="AG13">
        <v>3</v>
      </c>
      <c r="AH13">
        <v>3</v>
      </c>
      <c r="AI13">
        <v>3</v>
      </c>
      <c r="AJ13">
        <f t="shared" si="6"/>
        <v>0</v>
      </c>
      <c r="AK13">
        <v>5</v>
      </c>
      <c r="AL13">
        <v>0.32</v>
      </c>
      <c r="AM13">
        <v>7.0000000000000007E-2</v>
      </c>
      <c r="AN13">
        <v>3</v>
      </c>
      <c r="AO13">
        <v>3</v>
      </c>
      <c r="AP13">
        <v>3</v>
      </c>
      <c r="AQ13">
        <f t="shared" si="7"/>
        <v>0</v>
      </c>
    </row>
    <row r="14" spans="1:43" ht="15.75" customHeight="1">
      <c r="A14" s="12" t="s">
        <v>23</v>
      </c>
      <c r="B14" s="13" t="s">
        <v>27</v>
      </c>
      <c r="C14" s="12">
        <v>5</v>
      </c>
      <c r="D14" s="12">
        <v>4</v>
      </c>
      <c r="E14" s="14">
        <f t="shared" si="0"/>
        <v>1</v>
      </c>
      <c r="F14" s="14">
        <f t="shared" si="0"/>
        <v>1</v>
      </c>
      <c r="G14" s="14">
        <f t="shared" si="1"/>
        <v>1</v>
      </c>
      <c r="H14" s="14" t="str">
        <f t="shared" si="2"/>
        <v>OK</v>
      </c>
      <c r="I14" s="12">
        <v>5</v>
      </c>
      <c r="J14" s="12">
        <v>4</v>
      </c>
      <c r="K14" s="12">
        <v>4</v>
      </c>
      <c r="L14" s="12">
        <v>2</v>
      </c>
      <c r="M14" s="12">
        <v>1</v>
      </c>
      <c r="N14" s="12">
        <v>1</v>
      </c>
      <c r="O14" s="12">
        <v>2</v>
      </c>
      <c r="P14" s="12">
        <f t="shared" si="3"/>
        <v>1</v>
      </c>
      <c r="Q14" s="12">
        <v>1</v>
      </c>
      <c r="R14" s="12">
        <v>1</v>
      </c>
      <c r="S14" s="12">
        <v>1</v>
      </c>
      <c r="T14" s="12">
        <v>1</v>
      </c>
      <c r="U14" s="15">
        <v>3.73667E-4</v>
      </c>
      <c r="V14" s="15">
        <v>1.8945799999999999E-4</v>
      </c>
      <c r="W14" s="22">
        <f t="shared" si="4"/>
        <v>0</v>
      </c>
      <c r="X14" s="12" t="s">
        <v>28</v>
      </c>
      <c r="Y14" s="12" t="s">
        <v>26</v>
      </c>
      <c r="Z14" s="12" t="s">
        <v>26</v>
      </c>
      <c r="AA14" s="12">
        <v>1</v>
      </c>
      <c r="AB14" s="17">
        <v>0.81</v>
      </c>
      <c r="AC14" s="26">
        <f t="shared" si="5"/>
        <v>0</v>
      </c>
      <c r="AD14">
        <v>90</v>
      </c>
      <c r="AE14">
        <v>0.48699999999999999</v>
      </c>
      <c r="AF14">
        <v>5.0000000000000001E-3</v>
      </c>
      <c r="AG14">
        <v>1</v>
      </c>
      <c r="AH14">
        <v>1</v>
      </c>
      <c r="AI14">
        <v>1</v>
      </c>
      <c r="AJ14">
        <f t="shared" si="6"/>
        <v>0</v>
      </c>
      <c r="AK14">
        <v>5</v>
      </c>
      <c r="AL14">
        <v>0.46</v>
      </c>
      <c r="AM14">
        <v>0.1</v>
      </c>
      <c r="AN14">
        <v>1</v>
      </c>
      <c r="AO14">
        <v>1</v>
      </c>
      <c r="AP14">
        <v>1</v>
      </c>
      <c r="AQ14">
        <f t="shared" si="7"/>
        <v>0</v>
      </c>
    </row>
    <row r="15" spans="1:43" ht="15.75" customHeight="1">
      <c r="A15" s="12" t="s">
        <v>23</v>
      </c>
      <c r="B15" s="13" t="s">
        <v>41</v>
      </c>
      <c r="C15" s="12">
        <v>7</v>
      </c>
      <c r="D15" s="12">
        <v>6</v>
      </c>
      <c r="E15" s="14">
        <f t="shared" si="0"/>
        <v>1</v>
      </c>
      <c r="F15" s="14">
        <f t="shared" si="0"/>
        <v>1</v>
      </c>
      <c r="G15" s="14">
        <f t="shared" si="1"/>
        <v>1</v>
      </c>
      <c r="H15" s="14" t="str">
        <f t="shared" si="2"/>
        <v>OK</v>
      </c>
      <c r="I15" s="12">
        <v>7</v>
      </c>
      <c r="J15" s="12">
        <v>6</v>
      </c>
      <c r="K15" s="12">
        <v>6</v>
      </c>
      <c r="L15" s="12">
        <v>2</v>
      </c>
      <c r="M15" s="12">
        <v>1</v>
      </c>
      <c r="N15" s="12">
        <v>1</v>
      </c>
      <c r="O15" s="12">
        <v>2</v>
      </c>
      <c r="P15" s="12">
        <f t="shared" si="3"/>
        <v>1</v>
      </c>
      <c r="Q15" s="12">
        <v>1</v>
      </c>
      <c r="R15" s="12">
        <v>1</v>
      </c>
      <c r="S15" s="12">
        <v>1</v>
      </c>
      <c r="T15" s="12">
        <v>1</v>
      </c>
      <c r="U15" s="15">
        <v>5.3733299999999997E-4</v>
      </c>
      <c r="V15" s="15">
        <v>1.0958000000000001E-5</v>
      </c>
      <c r="W15" s="22">
        <f t="shared" si="4"/>
        <v>0</v>
      </c>
      <c r="X15" s="12" t="s">
        <v>38</v>
      </c>
      <c r="Y15" s="12" t="s">
        <v>26</v>
      </c>
      <c r="Z15" s="12" t="s">
        <v>26</v>
      </c>
      <c r="AA15" s="12">
        <v>1</v>
      </c>
      <c r="AB15" s="17">
        <v>0.77</v>
      </c>
      <c r="AC15" s="26">
        <f t="shared" si="5"/>
        <v>0</v>
      </c>
      <c r="AD15">
        <v>90</v>
      </c>
      <c r="AE15">
        <v>0.67500000000000004</v>
      </c>
      <c r="AF15">
        <v>7.0000000000000001E-3</v>
      </c>
      <c r="AG15">
        <v>1</v>
      </c>
      <c r="AH15">
        <v>1</v>
      </c>
      <c r="AI15">
        <v>1</v>
      </c>
      <c r="AJ15">
        <f t="shared" si="6"/>
        <v>0</v>
      </c>
      <c r="AK15">
        <v>5</v>
      </c>
      <c r="AL15">
        <v>0.52</v>
      </c>
      <c r="AM15">
        <v>0.11</v>
      </c>
      <c r="AN15">
        <v>1</v>
      </c>
      <c r="AO15">
        <v>1</v>
      </c>
      <c r="AP15">
        <v>1</v>
      </c>
      <c r="AQ15">
        <f t="shared" si="7"/>
        <v>0</v>
      </c>
    </row>
    <row r="16" spans="1:43" ht="15.75" customHeight="1">
      <c r="A16" s="12" t="s">
        <v>23</v>
      </c>
      <c r="B16" s="13" t="s">
        <v>75</v>
      </c>
      <c r="C16" s="12">
        <v>10</v>
      </c>
      <c r="D16" s="12">
        <v>9</v>
      </c>
      <c r="E16" s="14">
        <f t="shared" si="0"/>
        <v>2</v>
      </c>
      <c r="F16" s="14">
        <f t="shared" si="0"/>
        <v>2</v>
      </c>
      <c r="G16" s="14">
        <f t="shared" si="1"/>
        <v>2</v>
      </c>
      <c r="H16" s="14" t="str">
        <f t="shared" si="2"/>
        <v>OK</v>
      </c>
      <c r="I16" s="12">
        <v>10</v>
      </c>
      <c r="J16" s="12">
        <v>9</v>
      </c>
      <c r="K16" s="12">
        <v>9</v>
      </c>
      <c r="L16" s="12">
        <v>2</v>
      </c>
      <c r="M16" s="12">
        <v>2</v>
      </c>
      <c r="N16" s="12">
        <v>2</v>
      </c>
      <c r="O16" s="12">
        <v>3</v>
      </c>
      <c r="P16" s="12">
        <f t="shared" si="3"/>
        <v>2</v>
      </c>
      <c r="Q16" s="12">
        <v>2</v>
      </c>
      <c r="R16" s="12">
        <v>2</v>
      </c>
      <c r="S16" s="12">
        <v>2</v>
      </c>
      <c r="T16" s="12">
        <v>90</v>
      </c>
      <c r="U16" s="15">
        <v>3.9451124999999997E-2</v>
      </c>
      <c r="V16" s="15">
        <v>4.6758299999999999E-4</v>
      </c>
      <c r="W16" s="22">
        <f t="shared" si="4"/>
        <v>0</v>
      </c>
      <c r="X16" s="12" t="s">
        <v>76</v>
      </c>
      <c r="Y16" s="12" t="s">
        <v>26</v>
      </c>
      <c r="Z16" s="12" t="s">
        <v>26</v>
      </c>
      <c r="AA16" s="12">
        <v>2</v>
      </c>
      <c r="AB16" s="17">
        <v>0.79</v>
      </c>
      <c r="AC16" s="26">
        <f t="shared" si="5"/>
        <v>0</v>
      </c>
      <c r="AD16">
        <v>90</v>
      </c>
      <c r="AE16">
        <v>1.131</v>
      </c>
      <c r="AF16">
        <v>1.0999999999999999E-2</v>
      </c>
      <c r="AG16">
        <v>2</v>
      </c>
      <c r="AH16">
        <v>2</v>
      </c>
      <c r="AI16">
        <v>2</v>
      </c>
      <c r="AJ16">
        <f t="shared" si="6"/>
        <v>0</v>
      </c>
      <c r="AK16">
        <v>5</v>
      </c>
      <c r="AL16">
        <v>0.19</v>
      </c>
      <c r="AM16">
        <v>0.04</v>
      </c>
      <c r="AN16">
        <v>2</v>
      </c>
      <c r="AO16">
        <v>2</v>
      </c>
      <c r="AP16">
        <v>2</v>
      </c>
      <c r="AQ16">
        <f t="shared" si="7"/>
        <v>0</v>
      </c>
    </row>
    <row r="17" spans="1:43" ht="15.75" customHeight="1">
      <c r="A17" s="12" t="s">
        <v>23</v>
      </c>
      <c r="B17" s="13" t="s">
        <v>102</v>
      </c>
      <c r="C17" s="12">
        <v>15</v>
      </c>
      <c r="D17" s="12">
        <v>14</v>
      </c>
      <c r="E17" s="14">
        <f t="shared" si="0"/>
        <v>2</v>
      </c>
      <c r="F17" s="14">
        <f t="shared" si="0"/>
        <v>2</v>
      </c>
      <c r="G17" s="14">
        <f t="shared" si="1"/>
        <v>2</v>
      </c>
      <c r="H17" s="14" t="str">
        <f t="shared" si="2"/>
        <v>OK</v>
      </c>
      <c r="I17" s="12">
        <v>15</v>
      </c>
      <c r="J17" s="12">
        <v>14</v>
      </c>
      <c r="K17" s="12">
        <v>14</v>
      </c>
      <c r="L17" s="12">
        <v>2</v>
      </c>
      <c r="M17" s="12">
        <v>2</v>
      </c>
      <c r="N17" s="12">
        <v>2</v>
      </c>
      <c r="O17" s="12">
        <v>3</v>
      </c>
      <c r="P17" s="12">
        <f t="shared" si="3"/>
        <v>2</v>
      </c>
      <c r="Q17" s="12">
        <v>2</v>
      </c>
      <c r="R17" s="12">
        <v>2</v>
      </c>
      <c r="S17" s="12">
        <v>2</v>
      </c>
      <c r="T17" s="12">
        <v>90</v>
      </c>
      <c r="U17" s="15">
        <v>6.5842166999999993E-2</v>
      </c>
      <c r="V17" s="15">
        <v>3.0791999999999999E-5</v>
      </c>
      <c r="W17" s="22">
        <f t="shared" si="4"/>
        <v>0</v>
      </c>
      <c r="X17" s="12"/>
      <c r="Y17" s="12" t="s">
        <v>26</v>
      </c>
      <c r="Z17" s="12" t="s">
        <v>26</v>
      </c>
      <c r="AA17" s="12">
        <v>2</v>
      </c>
      <c r="AB17" s="17">
        <v>0.9</v>
      </c>
      <c r="AC17" s="26">
        <f t="shared" si="5"/>
        <v>0</v>
      </c>
      <c r="AD17">
        <v>90</v>
      </c>
      <c r="AE17">
        <v>2.6909999999999998</v>
      </c>
      <c r="AF17">
        <v>3.1E-2</v>
      </c>
      <c r="AG17">
        <v>2</v>
      </c>
      <c r="AH17">
        <v>2</v>
      </c>
      <c r="AI17">
        <v>2</v>
      </c>
      <c r="AJ17">
        <f t="shared" si="6"/>
        <v>0</v>
      </c>
      <c r="AK17">
        <v>5</v>
      </c>
      <c r="AL17">
        <v>0.23</v>
      </c>
      <c r="AM17">
        <v>0.04</v>
      </c>
      <c r="AN17">
        <v>2</v>
      </c>
      <c r="AO17">
        <v>2</v>
      </c>
      <c r="AP17">
        <v>2</v>
      </c>
      <c r="AQ17">
        <f t="shared" si="7"/>
        <v>0</v>
      </c>
    </row>
    <row r="18" spans="1:43" ht="15.75" customHeight="1">
      <c r="A18" s="12" t="s">
        <v>23</v>
      </c>
      <c r="B18" s="13" t="s">
        <v>118</v>
      </c>
      <c r="C18" s="12">
        <v>20</v>
      </c>
      <c r="D18" s="12">
        <v>19</v>
      </c>
      <c r="E18" s="14">
        <f t="shared" si="0"/>
        <v>2</v>
      </c>
      <c r="F18" s="14">
        <f t="shared" si="0"/>
        <v>2</v>
      </c>
      <c r="G18" s="14">
        <f t="shared" si="1"/>
        <v>2</v>
      </c>
      <c r="H18" s="14" t="str">
        <f t="shared" si="2"/>
        <v>OK</v>
      </c>
      <c r="I18" s="12">
        <v>20</v>
      </c>
      <c r="J18" s="12">
        <v>19</v>
      </c>
      <c r="K18" s="12">
        <v>19</v>
      </c>
      <c r="L18" s="12">
        <v>2</v>
      </c>
      <c r="M18" s="12">
        <v>2</v>
      </c>
      <c r="N18" s="12">
        <v>2</v>
      </c>
      <c r="O18" s="12">
        <v>4</v>
      </c>
      <c r="P18" s="12">
        <f t="shared" si="3"/>
        <v>2</v>
      </c>
      <c r="Q18" s="12">
        <v>2</v>
      </c>
      <c r="R18" s="12">
        <v>2</v>
      </c>
      <c r="S18" s="12">
        <v>2</v>
      </c>
      <c r="T18" s="12">
        <v>90</v>
      </c>
      <c r="U18" s="15">
        <v>0.105347</v>
      </c>
      <c r="V18" s="15">
        <v>1.1297919999999999E-3</v>
      </c>
      <c r="W18" s="22">
        <f t="shared" si="4"/>
        <v>0</v>
      </c>
      <c r="X18" s="12"/>
      <c r="Y18" s="12" t="s">
        <v>26</v>
      </c>
      <c r="Z18" s="12" t="s">
        <v>26</v>
      </c>
      <c r="AA18" s="12">
        <v>2</v>
      </c>
      <c r="AB18" s="17">
        <v>0.92</v>
      </c>
      <c r="AC18" s="26">
        <f t="shared" si="5"/>
        <v>0</v>
      </c>
      <c r="AD18">
        <v>90</v>
      </c>
      <c r="AE18">
        <v>5.6130000000000004</v>
      </c>
      <c r="AF18">
        <v>6.5000000000000002E-2</v>
      </c>
      <c r="AG18">
        <v>2</v>
      </c>
      <c r="AH18">
        <v>2</v>
      </c>
      <c r="AI18">
        <v>2</v>
      </c>
      <c r="AJ18">
        <f t="shared" si="6"/>
        <v>0</v>
      </c>
      <c r="AK18">
        <v>5</v>
      </c>
      <c r="AL18">
        <v>0.26</v>
      </c>
      <c r="AM18">
        <v>0.05</v>
      </c>
      <c r="AN18">
        <v>2</v>
      </c>
      <c r="AO18">
        <v>2</v>
      </c>
      <c r="AP18">
        <v>2</v>
      </c>
      <c r="AQ18">
        <f t="shared" si="7"/>
        <v>0</v>
      </c>
    </row>
    <row r="19" spans="1:43" ht="15.75" customHeight="1">
      <c r="A19" s="12" t="s">
        <v>23</v>
      </c>
      <c r="B19" s="13" t="s">
        <v>29</v>
      </c>
      <c r="C19" s="12">
        <v>5</v>
      </c>
      <c r="D19" s="12">
        <v>8</v>
      </c>
      <c r="E19" s="14">
        <f t="shared" si="0"/>
        <v>1</v>
      </c>
      <c r="F19" s="14">
        <f t="shared" si="0"/>
        <v>2</v>
      </c>
      <c r="G19" s="14">
        <f t="shared" si="1"/>
        <v>1</v>
      </c>
      <c r="H19" s="14" t="str">
        <f t="shared" si="2"/>
        <v>OK</v>
      </c>
      <c r="I19" s="12">
        <v>5</v>
      </c>
      <c r="J19" s="12">
        <v>8</v>
      </c>
      <c r="K19" s="12">
        <v>4</v>
      </c>
      <c r="L19" s="12">
        <v>2</v>
      </c>
      <c r="M19" s="12">
        <v>1</v>
      </c>
      <c r="N19" s="12">
        <v>1</v>
      </c>
      <c r="O19" s="12">
        <v>2</v>
      </c>
      <c r="P19" s="12">
        <f t="shared" si="3"/>
        <v>1</v>
      </c>
      <c r="Q19" s="12">
        <v>2</v>
      </c>
      <c r="R19" s="12">
        <v>2</v>
      </c>
      <c r="S19" s="12">
        <v>2</v>
      </c>
      <c r="T19" s="12">
        <v>90</v>
      </c>
      <c r="U19" s="15">
        <v>2.0573999999999999E-2</v>
      </c>
      <c r="V19" s="15">
        <v>2.3862500000000001E-4</v>
      </c>
      <c r="W19" s="22">
        <f t="shared" si="4"/>
        <v>1</v>
      </c>
      <c r="X19" s="12" t="s">
        <v>30</v>
      </c>
      <c r="Y19" s="12" t="s">
        <v>26</v>
      </c>
      <c r="Z19" s="12" t="s">
        <v>26</v>
      </c>
      <c r="AA19" s="12">
        <v>1</v>
      </c>
      <c r="AB19" s="17">
        <v>0.79</v>
      </c>
      <c r="AC19" s="26">
        <f t="shared" si="5"/>
        <v>0</v>
      </c>
      <c r="AD19">
        <v>90</v>
      </c>
      <c r="AE19">
        <v>0.49399999999999999</v>
      </c>
      <c r="AF19">
        <v>6.0000000000000001E-3</v>
      </c>
      <c r="AG19">
        <v>2</v>
      </c>
      <c r="AH19">
        <v>2</v>
      </c>
      <c r="AI19">
        <v>2</v>
      </c>
      <c r="AJ19">
        <f t="shared" si="6"/>
        <v>1</v>
      </c>
      <c r="AK19">
        <v>5</v>
      </c>
      <c r="AL19">
        <v>0.5</v>
      </c>
      <c r="AM19">
        <v>0.1</v>
      </c>
      <c r="AN19">
        <v>1</v>
      </c>
      <c r="AO19">
        <v>1</v>
      </c>
      <c r="AP19">
        <v>1</v>
      </c>
      <c r="AQ19">
        <f t="shared" si="7"/>
        <v>0</v>
      </c>
    </row>
    <row r="20" spans="1:43" ht="15.75" customHeight="1">
      <c r="A20" s="12" t="s">
        <v>23</v>
      </c>
      <c r="B20" s="13" t="s">
        <v>44</v>
      </c>
      <c r="C20" s="12">
        <v>7</v>
      </c>
      <c r="D20" s="12">
        <v>12</v>
      </c>
      <c r="E20" s="14">
        <f t="shared" si="0"/>
        <v>1</v>
      </c>
      <c r="F20" s="14">
        <f t="shared" si="0"/>
        <v>1</v>
      </c>
      <c r="G20" s="14">
        <f t="shared" si="1"/>
        <v>1</v>
      </c>
      <c r="H20" s="14" t="str">
        <f t="shared" si="2"/>
        <v>OK</v>
      </c>
      <c r="I20" s="12">
        <v>7</v>
      </c>
      <c r="J20" s="12">
        <v>12</v>
      </c>
      <c r="K20" s="12">
        <v>6</v>
      </c>
      <c r="L20" s="12">
        <v>2</v>
      </c>
      <c r="M20" s="12">
        <v>1</v>
      </c>
      <c r="N20" s="12">
        <v>1</v>
      </c>
      <c r="O20" s="12">
        <v>2</v>
      </c>
      <c r="P20" s="12">
        <f t="shared" si="3"/>
        <v>1</v>
      </c>
      <c r="Q20" s="12">
        <v>1</v>
      </c>
      <c r="R20" s="12">
        <v>1</v>
      </c>
      <c r="S20" s="12">
        <v>1</v>
      </c>
      <c r="T20" s="12">
        <v>1</v>
      </c>
      <c r="U20" s="15">
        <v>6.5700000000000003E-4</v>
      </c>
      <c r="V20" s="15">
        <v>1.5709000000000002E-5</v>
      </c>
      <c r="W20" s="22">
        <f t="shared" si="4"/>
        <v>0</v>
      </c>
      <c r="X20" s="12" t="s">
        <v>38</v>
      </c>
      <c r="Y20" s="12" t="s">
        <v>26</v>
      </c>
      <c r="Z20" s="12" t="s">
        <v>26</v>
      </c>
      <c r="AA20" s="12">
        <v>1</v>
      </c>
      <c r="AB20" s="17">
        <v>1.65</v>
      </c>
      <c r="AC20" s="26">
        <f t="shared" si="5"/>
        <v>0</v>
      </c>
      <c r="AD20">
        <v>90</v>
      </c>
      <c r="AE20">
        <v>0.67100000000000004</v>
      </c>
      <c r="AF20">
        <v>8.0000000000000002E-3</v>
      </c>
      <c r="AG20">
        <v>2</v>
      </c>
      <c r="AH20">
        <v>2</v>
      </c>
      <c r="AI20">
        <v>2</v>
      </c>
      <c r="AJ20">
        <f t="shared" si="6"/>
        <v>1</v>
      </c>
      <c r="AK20">
        <v>5</v>
      </c>
      <c r="AL20">
        <v>0.61</v>
      </c>
      <c r="AM20">
        <v>0.12</v>
      </c>
      <c r="AN20">
        <v>1</v>
      </c>
      <c r="AO20">
        <v>1</v>
      </c>
      <c r="AP20">
        <v>1</v>
      </c>
      <c r="AQ20">
        <f t="shared" si="7"/>
        <v>0</v>
      </c>
    </row>
    <row r="21" spans="1:43" ht="15.75" customHeight="1">
      <c r="A21" s="12" t="s">
        <v>23</v>
      </c>
      <c r="B21" s="13" t="s">
        <v>77</v>
      </c>
      <c r="C21" s="12">
        <v>10</v>
      </c>
      <c r="D21" s="12">
        <v>18</v>
      </c>
      <c r="E21" s="14">
        <f t="shared" si="0"/>
        <v>2</v>
      </c>
      <c r="F21" s="14">
        <f t="shared" si="0"/>
        <v>2</v>
      </c>
      <c r="G21" s="14">
        <f t="shared" si="1"/>
        <v>2</v>
      </c>
      <c r="H21" s="14" t="str">
        <f t="shared" si="2"/>
        <v>OK</v>
      </c>
      <c r="I21" s="12">
        <v>10</v>
      </c>
      <c r="J21" s="12">
        <v>18</v>
      </c>
      <c r="K21" s="12">
        <v>9</v>
      </c>
      <c r="L21" s="12">
        <v>2</v>
      </c>
      <c r="M21" s="12">
        <v>2</v>
      </c>
      <c r="N21" s="12">
        <v>2</v>
      </c>
      <c r="O21" s="12">
        <v>3</v>
      </c>
      <c r="P21" s="12">
        <f t="shared" si="3"/>
        <v>2</v>
      </c>
      <c r="Q21" s="12">
        <v>2</v>
      </c>
      <c r="R21" s="12">
        <v>2</v>
      </c>
      <c r="S21" s="12">
        <v>2</v>
      </c>
      <c r="T21" s="12">
        <v>90</v>
      </c>
      <c r="U21" s="15">
        <v>4.9266999999999998E-2</v>
      </c>
      <c r="V21" s="15">
        <v>5.8204199999999995E-4</v>
      </c>
      <c r="W21" s="22">
        <f t="shared" si="4"/>
        <v>0</v>
      </c>
      <c r="X21" s="12" t="s">
        <v>78</v>
      </c>
      <c r="Y21" s="12" t="s">
        <v>26</v>
      </c>
      <c r="Z21" s="12" t="s">
        <v>26</v>
      </c>
      <c r="AA21" s="18">
        <v>2</v>
      </c>
      <c r="AB21" s="19">
        <v>0.82</v>
      </c>
      <c r="AC21" s="26">
        <f t="shared" si="5"/>
        <v>0</v>
      </c>
      <c r="AD21">
        <v>90</v>
      </c>
      <c r="AE21">
        <v>1.222</v>
      </c>
      <c r="AF21">
        <v>1.2999999999999999E-2</v>
      </c>
      <c r="AG21">
        <v>2</v>
      </c>
      <c r="AH21">
        <v>2</v>
      </c>
      <c r="AI21">
        <v>2</v>
      </c>
      <c r="AJ21">
        <f t="shared" si="6"/>
        <v>0</v>
      </c>
      <c r="AK21">
        <v>5</v>
      </c>
      <c r="AL21">
        <v>0.22</v>
      </c>
      <c r="AM21">
        <v>0.05</v>
      </c>
      <c r="AN21">
        <v>2</v>
      </c>
      <c r="AO21">
        <v>2</v>
      </c>
      <c r="AP21">
        <v>2</v>
      </c>
      <c r="AQ21">
        <f t="shared" si="7"/>
        <v>0</v>
      </c>
    </row>
    <row r="22" spans="1:43" ht="15.75" customHeight="1">
      <c r="A22" s="12" t="s">
        <v>23</v>
      </c>
      <c r="B22" s="13" t="s">
        <v>104</v>
      </c>
      <c r="C22" s="12">
        <v>15</v>
      </c>
      <c r="D22" s="12">
        <v>28</v>
      </c>
      <c r="E22" s="14">
        <f t="shared" si="0"/>
        <v>2</v>
      </c>
      <c r="F22" s="14">
        <f t="shared" si="0"/>
        <v>2</v>
      </c>
      <c r="G22" s="14">
        <f t="shared" si="1"/>
        <v>2</v>
      </c>
      <c r="H22" s="14" t="str">
        <f t="shared" si="2"/>
        <v>OK</v>
      </c>
      <c r="I22" s="12">
        <v>15</v>
      </c>
      <c r="J22" s="12">
        <v>28</v>
      </c>
      <c r="K22" s="12">
        <v>14</v>
      </c>
      <c r="L22" s="12">
        <v>2</v>
      </c>
      <c r="M22" s="12">
        <v>2</v>
      </c>
      <c r="N22" s="12">
        <v>2</v>
      </c>
      <c r="O22" s="12">
        <v>3</v>
      </c>
      <c r="P22" s="12">
        <f t="shared" si="3"/>
        <v>2</v>
      </c>
      <c r="Q22" s="12">
        <v>2</v>
      </c>
      <c r="R22" s="12">
        <v>2</v>
      </c>
      <c r="S22" s="12">
        <v>2</v>
      </c>
      <c r="T22" s="12">
        <v>90</v>
      </c>
      <c r="U22" s="15">
        <v>7.6207207999999999E-2</v>
      </c>
      <c r="V22" s="15">
        <v>9.5187500000000003E-4</v>
      </c>
      <c r="W22" s="22">
        <f t="shared" si="4"/>
        <v>0</v>
      </c>
      <c r="X22" s="12"/>
      <c r="Y22" s="12" t="s">
        <v>26</v>
      </c>
      <c r="Z22" s="12" t="s">
        <v>26</v>
      </c>
      <c r="AA22" s="18">
        <v>2</v>
      </c>
      <c r="AB22" s="19">
        <v>0.84</v>
      </c>
      <c r="AC22" s="26">
        <f t="shared" si="5"/>
        <v>0</v>
      </c>
      <c r="AD22">
        <v>90</v>
      </c>
      <c r="AE22">
        <v>2.891</v>
      </c>
      <c r="AF22">
        <v>3.1E-2</v>
      </c>
      <c r="AG22">
        <v>2</v>
      </c>
      <c r="AH22">
        <v>2</v>
      </c>
      <c r="AI22">
        <v>2</v>
      </c>
      <c r="AJ22">
        <f t="shared" si="6"/>
        <v>0</v>
      </c>
      <c r="AK22">
        <v>5</v>
      </c>
      <c r="AL22">
        <v>0.26</v>
      </c>
      <c r="AM22">
        <v>0.05</v>
      </c>
      <c r="AN22">
        <v>2</v>
      </c>
      <c r="AO22">
        <v>2</v>
      </c>
      <c r="AP22">
        <v>2</v>
      </c>
      <c r="AQ22">
        <f t="shared" si="7"/>
        <v>0</v>
      </c>
    </row>
    <row r="23" spans="1:43" ht="15.75" customHeight="1">
      <c r="A23" s="12" t="s">
        <v>23</v>
      </c>
      <c r="B23" s="13" t="s">
        <v>119</v>
      </c>
      <c r="C23" s="12">
        <v>20</v>
      </c>
      <c r="D23" s="12">
        <v>38</v>
      </c>
      <c r="E23" s="14">
        <f t="shared" si="0"/>
        <v>2</v>
      </c>
      <c r="F23" s="14">
        <f t="shared" si="0"/>
        <v>2</v>
      </c>
      <c r="G23" s="14">
        <f t="shared" si="1"/>
        <v>2</v>
      </c>
      <c r="H23" s="14" t="str">
        <f t="shared" si="2"/>
        <v>OK</v>
      </c>
      <c r="I23" s="12">
        <v>20</v>
      </c>
      <c r="J23" s="12">
        <v>38</v>
      </c>
      <c r="K23" s="12">
        <v>19</v>
      </c>
      <c r="L23" s="12">
        <v>2</v>
      </c>
      <c r="M23" s="12">
        <v>2</v>
      </c>
      <c r="N23" s="12">
        <v>2</v>
      </c>
      <c r="O23" s="12">
        <v>4</v>
      </c>
      <c r="P23" s="12">
        <f t="shared" si="3"/>
        <v>2</v>
      </c>
      <c r="Q23" s="12">
        <v>2</v>
      </c>
      <c r="R23" s="12">
        <v>2.0110999999999999</v>
      </c>
      <c r="S23" s="12">
        <v>3</v>
      </c>
      <c r="T23" s="12">
        <v>90</v>
      </c>
      <c r="U23" s="15">
        <v>0.128438417</v>
      </c>
      <c r="V23" s="15">
        <v>2.2730419999999999E-3</v>
      </c>
      <c r="W23" s="22">
        <f t="shared" si="4"/>
        <v>0</v>
      </c>
      <c r="X23" s="12"/>
      <c r="Y23" s="12" t="s">
        <v>26</v>
      </c>
      <c r="Z23" s="12" t="s">
        <v>26</v>
      </c>
      <c r="AA23" s="18">
        <v>2</v>
      </c>
      <c r="AB23" s="19">
        <v>0.82</v>
      </c>
      <c r="AC23" s="26">
        <f t="shared" si="5"/>
        <v>0</v>
      </c>
      <c r="AD23">
        <v>250</v>
      </c>
      <c r="AE23">
        <v>19.027000000000001</v>
      </c>
      <c r="AF23">
        <v>0.19</v>
      </c>
      <c r="AG23">
        <v>2</v>
      </c>
      <c r="AH23">
        <v>2.82</v>
      </c>
      <c r="AI23">
        <v>3</v>
      </c>
      <c r="AJ23">
        <f t="shared" si="6"/>
        <v>0</v>
      </c>
      <c r="AK23">
        <v>5</v>
      </c>
      <c r="AL23">
        <v>0.28000000000000003</v>
      </c>
      <c r="AM23">
        <v>0.17</v>
      </c>
      <c r="AN23">
        <v>3</v>
      </c>
      <c r="AO23">
        <v>3</v>
      </c>
      <c r="AP23">
        <v>3</v>
      </c>
      <c r="AQ23">
        <f t="shared" si="7"/>
        <v>0.5</v>
      </c>
    </row>
    <row r="24" spans="1:43" ht="15.75" customHeight="1">
      <c r="A24" s="12" t="s">
        <v>23</v>
      </c>
      <c r="B24" s="13" t="s">
        <v>35</v>
      </c>
      <c r="C24" s="12">
        <v>6</v>
      </c>
      <c r="D24" s="12">
        <v>9</v>
      </c>
      <c r="E24" s="14">
        <f t="shared" si="0"/>
        <v>2</v>
      </c>
      <c r="F24" s="14">
        <f t="shared" si="0"/>
        <v>2</v>
      </c>
      <c r="G24" s="14">
        <f t="shared" si="1"/>
        <v>2</v>
      </c>
      <c r="H24" s="14" t="str">
        <f t="shared" si="2"/>
        <v>OK</v>
      </c>
      <c r="I24" s="12">
        <v>6</v>
      </c>
      <c r="J24" s="12">
        <v>9</v>
      </c>
      <c r="K24" s="12">
        <v>3</v>
      </c>
      <c r="L24" s="12">
        <v>2</v>
      </c>
      <c r="M24" s="12">
        <v>2</v>
      </c>
      <c r="N24" s="12">
        <v>1</v>
      </c>
      <c r="O24" s="12">
        <v>2</v>
      </c>
      <c r="P24" s="12">
        <f t="shared" si="3"/>
        <v>2</v>
      </c>
      <c r="Q24" s="12">
        <v>2</v>
      </c>
      <c r="R24" s="12">
        <v>2</v>
      </c>
      <c r="S24" s="12">
        <v>2</v>
      </c>
      <c r="T24" s="12">
        <v>90</v>
      </c>
      <c r="U24" s="15">
        <v>3.3159042E-2</v>
      </c>
      <c r="V24" s="15">
        <v>3.8033300000000001E-4</v>
      </c>
      <c r="W24" s="22">
        <f t="shared" si="4"/>
        <v>0</v>
      </c>
      <c r="X24" s="12" t="s">
        <v>36</v>
      </c>
      <c r="Y24" s="12" t="s">
        <v>26</v>
      </c>
      <c r="Z24" s="12" t="s">
        <v>26</v>
      </c>
      <c r="AA24" s="12">
        <v>2</v>
      </c>
      <c r="AB24" s="17">
        <v>0.78</v>
      </c>
      <c r="AC24" s="26">
        <f t="shared" si="5"/>
        <v>0</v>
      </c>
      <c r="AD24">
        <v>90</v>
      </c>
      <c r="AE24">
        <v>0.56799999999999995</v>
      </c>
      <c r="AF24">
        <v>6.0000000000000001E-3</v>
      </c>
      <c r="AG24">
        <v>2</v>
      </c>
      <c r="AH24">
        <v>2</v>
      </c>
      <c r="AI24">
        <v>2</v>
      </c>
      <c r="AJ24">
        <f t="shared" si="6"/>
        <v>0</v>
      </c>
      <c r="AK24">
        <v>5</v>
      </c>
      <c r="AL24">
        <v>0.21</v>
      </c>
      <c r="AM24">
        <v>0.04</v>
      </c>
      <c r="AN24">
        <v>2</v>
      </c>
      <c r="AO24">
        <v>2</v>
      </c>
      <c r="AP24">
        <v>2</v>
      </c>
      <c r="AQ24">
        <f t="shared" si="7"/>
        <v>0</v>
      </c>
    </row>
    <row r="25" spans="1:43" ht="15.75" customHeight="1">
      <c r="A25" s="12" t="s">
        <v>23</v>
      </c>
      <c r="B25" s="13" t="s">
        <v>47</v>
      </c>
      <c r="C25" s="12">
        <v>8</v>
      </c>
      <c r="D25" s="12">
        <v>12</v>
      </c>
      <c r="E25" s="14">
        <f t="shared" si="0"/>
        <v>2</v>
      </c>
      <c r="F25" s="14">
        <f t="shared" si="0"/>
        <v>2</v>
      </c>
      <c r="G25" s="14">
        <f t="shared" si="1"/>
        <v>2</v>
      </c>
      <c r="H25" s="14" t="str">
        <f t="shared" si="2"/>
        <v>OK</v>
      </c>
      <c r="I25" s="12">
        <v>8</v>
      </c>
      <c r="J25" s="12">
        <v>12</v>
      </c>
      <c r="K25" s="12">
        <v>3</v>
      </c>
      <c r="L25" s="12">
        <v>2</v>
      </c>
      <c r="M25" s="12">
        <v>2</v>
      </c>
      <c r="N25" s="12">
        <v>1</v>
      </c>
      <c r="O25" s="12">
        <v>2</v>
      </c>
      <c r="P25" s="12">
        <f t="shared" si="3"/>
        <v>2</v>
      </c>
      <c r="Q25" s="12">
        <v>2</v>
      </c>
      <c r="R25" s="12">
        <v>2</v>
      </c>
      <c r="S25" s="12">
        <v>2</v>
      </c>
      <c r="T25" s="12">
        <v>90</v>
      </c>
      <c r="U25" s="15">
        <v>4.3351124999999997E-2</v>
      </c>
      <c r="V25" s="15">
        <v>1.1115000000000001E-3</v>
      </c>
      <c r="W25" s="22">
        <f t="shared" si="4"/>
        <v>0</v>
      </c>
      <c r="X25" s="12" t="s">
        <v>48</v>
      </c>
      <c r="Y25" s="12" t="s">
        <v>26</v>
      </c>
      <c r="Z25" s="12" t="s">
        <v>26</v>
      </c>
      <c r="AA25" s="12">
        <v>2</v>
      </c>
      <c r="AB25" s="17">
        <v>0.75</v>
      </c>
      <c r="AC25" s="26">
        <f t="shared" si="5"/>
        <v>0</v>
      </c>
      <c r="AD25">
        <v>90</v>
      </c>
      <c r="AE25">
        <v>0.77500000000000002</v>
      </c>
      <c r="AF25">
        <v>8.0000000000000002E-3</v>
      </c>
      <c r="AG25">
        <v>2</v>
      </c>
      <c r="AH25">
        <v>2</v>
      </c>
      <c r="AI25">
        <v>2</v>
      </c>
      <c r="AJ25">
        <f t="shared" si="6"/>
        <v>0</v>
      </c>
      <c r="AK25">
        <v>5</v>
      </c>
      <c r="AL25">
        <v>0.23</v>
      </c>
      <c r="AM25">
        <v>0.05</v>
      </c>
      <c r="AN25">
        <v>2</v>
      </c>
      <c r="AO25">
        <v>2</v>
      </c>
      <c r="AP25">
        <v>2</v>
      </c>
      <c r="AQ25">
        <f t="shared" si="7"/>
        <v>0</v>
      </c>
    </row>
    <row r="26" spans="1:43" ht="15.75" customHeight="1">
      <c r="A26" s="12" t="s">
        <v>23</v>
      </c>
      <c r="B26" s="13" t="s">
        <v>69</v>
      </c>
      <c r="C26" s="12">
        <v>10</v>
      </c>
      <c r="D26" s="12">
        <v>15</v>
      </c>
      <c r="E26" s="14">
        <f t="shared" si="0"/>
        <v>2</v>
      </c>
      <c r="F26" s="14">
        <f t="shared" si="0"/>
        <v>2</v>
      </c>
      <c r="G26" s="14">
        <f t="shared" si="1"/>
        <v>2</v>
      </c>
      <c r="H26" s="14" t="str">
        <f t="shared" si="2"/>
        <v>OK</v>
      </c>
      <c r="I26" s="12">
        <v>10</v>
      </c>
      <c r="J26" s="12">
        <v>15</v>
      </c>
      <c r="K26" s="12">
        <v>3</v>
      </c>
      <c r="L26" s="12">
        <v>3</v>
      </c>
      <c r="M26" s="12">
        <v>2</v>
      </c>
      <c r="N26" s="12">
        <v>1</v>
      </c>
      <c r="O26" s="12">
        <v>3</v>
      </c>
      <c r="P26" s="12">
        <f t="shared" si="3"/>
        <v>2</v>
      </c>
      <c r="Q26" s="12">
        <v>2</v>
      </c>
      <c r="R26" s="12">
        <v>2</v>
      </c>
      <c r="S26" s="12">
        <v>2</v>
      </c>
      <c r="T26" s="12">
        <v>90</v>
      </c>
      <c r="U26" s="15">
        <v>6.1655792000000001E-2</v>
      </c>
      <c r="V26" s="15">
        <v>6.0258299999999996E-4</v>
      </c>
      <c r="W26" s="22">
        <f t="shared" si="4"/>
        <v>0</v>
      </c>
      <c r="X26" s="12" t="s">
        <v>70</v>
      </c>
      <c r="Y26" s="12" t="s">
        <v>26</v>
      </c>
      <c r="Z26" s="12" t="s">
        <v>26</v>
      </c>
      <c r="AA26" s="12">
        <v>2</v>
      </c>
      <c r="AB26" s="17">
        <v>0.88</v>
      </c>
      <c r="AC26" s="26">
        <f t="shared" si="5"/>
        <v>0</v>
      </c>
      <c r="AD26">
        <v>90</v>
      </c>
      <c r="AE26">
        <v>1.2130000000000001</v>
      </c>
      <c r="AF26">
        <v>1.2999999999999999E-2</v>
      </c>
      <c r="AG26">
        <v>2</v>
      </c>
      <c r="AH26">
        <v>2</v>
      </c>
      <c r="AI26">
        <v>2</v>
      </c>
      <c r="AJ26">
        <f t="shared" si="6"/>
        <v>0</v>
      </c>
      <c r="AK26">
        <v>5</v>
      </c>
      <c r="AL26">
        <v>0.23</v>
      </c>
      <c r="AM26">
        <v>0.05</v>
      </c>
      <c r="AN26">
        <v>2</v>
      </c>
      <c r="AO26">
        <v>2</v>
      </c>
      <c r="AP26">
        <v>2</v>
      </c>
      <c r="AQ26">
        <f t="shared" si="7"/>
        <v>0</v>
      </c>
    </row>
    <row r="27" spans="1:43" ht="15.75" customHeight="1">
      <c r="A27" s="12" t="s">
        <v>23</v>
      </c>
      <c r="B27" s="13" t="s">
        <v>91</v>
      </c>
      <c r="C27" s="12">
        <v>12</v>
      </c>
      <c r="D27" s="12">
        <v>18</v>
      </c>
      <c r="E27" s="14">
        <f t="shared" si="0"/>
        <v>1</v>
      </c>
      <c r="F27" s="14">
        <f t="shared" si="0"/>
        <v>2</v>
      </c>
      <c r="G27" s="14">
        <f t="shared" si="1"/>
        <v>1</v>
      </c>
      <c r="H27" s="14" t="str">
        <f t="shared" si="2"/>
        <v>OK</v>
      </c>
      <c r="I27" s="12">
        <v>12</v>
      </c>
      <c r="J27" s="12">
        <v>18</v>
      </c>
      <c r="K27" s="12">
        <v>3</v>
      </c>
      <c r="L27" s="12">
        <v>3</v>
      </c>
      <c r="M27" s="12">
        <v>2</v>
      </c>
      <c r="N27" s="12">
        <v>1</v>
      </c>
      <c r="O27" s="12">
        <v>3</v>
      </c>
      <c r="P27" s="12">
        <f t="shared" si="3"/>
        <v>1</v>
      </c>
      <c r="Q27" s="12">
        <v>2</v>
      </c>
      <c r="R27" s="12">
        <v>2</v>
      </c>
      <c r="S27" s="12">
        <v>2</v>
      </c>
      <c r="T27" s="12">
        <v>90</v>
      </c>
      <c r="U27" s="15">
        <v>7.1251834E-2</v>
      </c>
      <c r="V27" s="15">
        <v>8.5437499999999999E-4</v>
      </c>
      <c r="W27" s="22">
        <f t="shared" si="4"/>
        <v>1</v>
      </c>
      <c r="X27" s="12" t="s">
        <v>92</v>
      </c>
      <c r="Y27" s="12" t="s">
        <v>26</v>
      </c>
      <c r="Z27" s="12" t="s">
        <v>26</v>
      </c>
      <c r="AA27" s="12">
        <v>1</v>
      </c>
      <c r="AB27" s="17">
        <v>0.85</v>
      </c>
      <c r="AC27" s="26">
        <f t="shared" si="5"/>
        <v>0</v>
      </c>
      <c r="AD27">
        <v>90</v>
      </c>
      <c r="AE27">
        <v>1.776</v>
      </c>
      <c r="AF27">
        <v>0.02</v>
      </c>
      <c r="AG27">
        <v>2</v>
      </c>
      <c r="AH27">
        <v>2</v>
      </c>
      <c r="AI27">
        <v>2</v>
      </c>
      <c r="AJ27">
        <f t="shared" si="6"/>
        <v>1</v>
      </c>
      <c r="AK27">
        <v>5</v>
      </c>
      <c r="AL27">
        <v>0.25</v>
      </c>
      <c r="AM27">
        <v>0.2</v>
      </c>
      <c r="AN27">
        <v>2</v>
      </c>
      <c r="AO27">
        <v>2</v>
      </c>
      <c r="AP27">
        <v>2</v>
      </c>
      <c r="AQ27">
        <f t="shared" si="7"/>
        <v>1</v>
      </c>
    </row>
    <row r="28" spans="1:43" ht="15.75" customHeight="1">
      <c r="A28" s="12" t="s">
        <v>23</v>
      </c>
      <c r="B28" s="13" t="s">
        <v>108</v>
      </c>
      <c r="C28" s="12">
        <v>16</v>
      </c>
      <c r="D28" s="12">
        <v>24</v>
      </c>
      <c r="E28" s="14">
        <f t="shared" si="0"/>
        <v>2</v>
      </c>
      <c r="F28" s="14">
        <f t="shared" si="0"/>
        <v>2</v>
      </c>
      <c r="G28" s="14">
        <f t="shared" si="1"/>
        <v>2</v>
      </c>
      <c r="H28" s="14" t="str">
        <f t="shared" si="2"/>
        <v>OK</v>
      </c>
      <c r="I28" s="12">
        <v>16</v>
      </c>
      <c r="J28" s="12">
        <v>24</v>
      </c>
      <c r="K28" s="12">
        <v>3</v>
      </c>
      <c r="L28" s="12">
        <v>4</v>
      </c>
      <c r="M28" s="12">
        <v>2</v>
      </c>
      <c r="N28" s="12">
        <v>1</v>
      </c>
      <c r="O28" s="12">
        <v>3</v>
      </c>
      <c r="P28" s="12">
        <f t="shared" si="3"/>
        <v>2</v>
      </c>
      <c r="Q28" s="12">
        <v>2</v>
      </c>
      <c r="R28" s="12">
        <v>2</v>
      </c>
      <c r="S28" s="12">
        <v>2</v>
      </c>
      <c r="T28" s="12">
        <v>90</v>
      </c>
      <c r="U28" s="15">
        <v>7.7578958000000003E-2</v>
      </c>
      <c r="V28" s="15">
        <v>8.7645799999999999E-4</v>
      </c>
      <c r="W28" s="22">
        <f t="shared" si="4"/>
        <v>0</v>
      </c>
      <c r="X28" s="12"/>
      <c r="Y28" s="12" t="s">
        <v>26</v>
      </c>
      <c r="Z28" s="12" t="s">
        <v>26</v>
      </c>
      <c r="AA28" s="12">
        <v>2</v>
      </c>
      <c r="AB28" s="17">
        <v>0.82</v>
      </c>
      <c r="AC28" s="26">
        <f t="shared" si="5"/>
        <v>0</v>
      </c>
      <c r="AD28">
        <v>250</v>
      </c>
      <c r="AE28">
        <v>11.28</v>
      </c>
      <c r="AF28">
        <v>7.8E-2</v>
      </c>
      <c r="AG28">
        <v>2</v>
      </c>
      <c r="AH28">
        <v>2.2999999999999998</v>
      </c>
      <c r="AI28">
        <v>3</v>
      </c>
      <c r="AJ28">
        <f t="shared" si="6"/>
        <v>0</v>
      </c>
      <c r="AK28">
        <v>5</v>
      </c>
      <c r="AL28">
        <v>0.27</v>
      </c>
      <c r="AM28">
        <v>0.06</v>
      </c>
      <c r="AN28">
        <v>2</v>
      </c>
      <c r="AO28">
        <v>2</v>
      </c>
      <c r="AP28">
        <v>2</v>
      </c>
      <c r="AQ28">
        <f t="shared" si="7"/>
        <v>0</v>
      </c>
    </row>
    <row r="29" spans="1:43" ht="15.75" customHeight="1">
      <c r="A29" s="12" t="s">
        <v>23</v>
      </c>
      <c r="B29" s="13" t="s">
        <v>171</v>
      </c>
      <c r="C29" s="18">
        <v>6</v>
      </c>
      <c r="D29" s="18">
        <v>9</v>
      </c>
      <c r="E29" s="14">
        <f t="shared" si="0"/>
        <v>1</v>
      </c>
      <c r="F29" s="14">
        <f t="shared" si="0"/>
        <v>1</v>
      </c>
      <c r="G29" s="14">
        <f t="shared" si="1"/>
        <v>1</v>
      </c>
      <c r="H29" s="14" t="str">
        <f t="shared" si="2"/>
        <v>OK</v>
      </c>
      <c r="I29" s="18">
        <v>6</v>
      </c>
      <c r="J29" s="18">
        <v>9</v>
      </c>
      <c r="K29" s="16"/>
      <c r="L29" s="12"/>
      <c r="M29" s="12"/>
      <c r="N29" s="12">
        <v>1</v>
      </c>
      <c r="O29" s="12">
        <v>2</v>
      </c>
      <c r="P29" s="12">
        <f t="shared" si="3"/>
        <v>1</v>
      </c>
      <c r="Q29" s="12">
        <v>1</v>
      </c>
      <c r="R29" s="12">
        <v>1</v>
      </c>
      <c r="S29" s="12">
        <v>1</v>
      </c>
      <c r="T29" s="12">
        <v>1</v>
      </c>
      <c r="U29" s="15">
        <v>1.0210042000000001E-2</v>
      </c>
      <c r="V29" s="15">
        <v>4.2566700000000002E-4</v>
      </c>
      <c r="W29" s="22">
        <f t="shared" si="4"/>
        <v>0</v>
      </c>
      <c r="X29" s="12"/>
      <c r="Y29" s="12" t="s">
        <v>26</v>
      </c>
      <c r="Z29" s="12" t="s">
        <v>26</v>
      </c>
      <c r="AA29" s="12">
        <v>1</v>
      </c>
      <c r="AB29" s="17">
        <v>0.41</v>
      </c>
      <c r="AC29" s="26">
        <f t="shared" si="5"/>
        <v>0</v>
      </c>
      <c r="AD29">
        <v>90</v>
      </c>
      <c r="AE29">
        <v>0.252</v>
      </c>
      <c r="AF29">
        <v>3.0000000000000001E-3</v>
      </c>
      <c r="AG29">
        <v>2</v>
      </c>
      <c r="AH29">
        <v>2</v>
      </c>
      <c r="AI29">
        <v>2</v>
      </c>
      <c r="AJ29">
        <f t="shared" si="6"/>
        <v>1</v>
      </c>
      <c r="AK29">
        <v>5</v>
      </c>
      <c r="AL29">
        <v>0.6</v>
      </c>
      <c r="AM29">
        <v>0.12</v>
      </c>
      <c r="AN29">
        <v>1</v>
      </c>
      <c r="AO29">
        <v>1</v>
      </c>
      <c r="AP29">
        <v>1</v>
      </c>
      <c r="AQ29">
        <f t="shared" si="7"/>
        <v>0</v>
      </c>
    </row>
    <row r="30" spans="1:43" ht="13">
      <c r="A30" s="12" t="s">
        <v>23</v>
      </c>
      <c r="B30" s="13" t="s">
        <v>172</v>
      </c>
      <c r="C30" s="18">
        <v>10</v>
      </c>
      <c r="D30" s="18">
        <v>18</v>
      </c>
      <c r="E30" s="14">
        <f t="shared" si="0"/>
        <v>1</v>
      </c>
      <c r="F30" s="14">
        <f t="shared" si="0"/>
        <v>1</v>
      </c>
      <c r="G30" s="14">
        <f t="shared" si="1"/>
        <v>1</v>
      </c>
      <c r="H30" s="14" t="str">
        <f t="shared" si="2"/>
        <v>OK</v>
      </c>
      <c r="I30" s="18">
        <v>10</v>
      </c>
      <c r="J30" s="18">
        <v>18</v>
      </c>
      <c r="K30" s="16"/>
      <c r="L30" s="12"/>
      <c r="M30" s="12"/>
      <c r="N30" s="12">
        <v>1</v>
      </c>
      <c r="O30" s="12">
        <v>3</v>
      </c>
      <c r="P30" s="12">
        <f t="shared" si="3"/>
        <v>1</v>
      </c>
      <c r="Q30" s="12">
        <v>1</v>
      </c>
      <c r="R30" s="12">
        <v>1</v>
      </c>
      <c r="S30" s="12">
        <v>1</v>
      </c>
      <c r="T30" s="12">
        <v>1</v>
      </c>
      <c r="U30" s="15">
        <v>3.3593832999999997E-2</v>
      </c>
      <c r="V30" s="15">
        <v>2.3657079999999998E-3</v>
      </c>
      <c r="W30" s="22">
        <f t="shared" si="4"/>
        <v>0</v>
      </c>
      <c r="X30" s="12"/>
      <c r="Y30" s="12" t="s">
        <v>26</v>
      </c>
      <c r="Z30" s="12" t="s">
        <v>26</v>
      </c>
      <c r="AA30" s="12">
        <v>1</v>
      </c>
      <c r="AB30" s="17">
        <v>0.39</v>
      </c>
      <c r="AC30" s="26">
        <f t="shared" si="5"/>
        <v>0</v>
      </c>
      <c r="AD30">
        <v>90</v>
      </c>
      <c r="AE30">
        <v>0.57999999999999996</v>
      </c>
      <c r="AF30">
        <v>7.0000000000000001E-3</v>
      </c>
      <c r="AG30">
        <v>2</v>
      </c>
      <c r="AH30">
        <v>2</v>
      </c>
      <c r="AI30">
        <v>2</v>
      </c>
      <c r="AJ30">
        <f t="shared" si="6"/>
        <v>1</v>
      </c>
      <c r="AK30">
        <v>5</v>
      </c>
      <c r="AL30">
        <v>0.25</v>
      </c>
      <c r="AM30">
        <v>0.05</v>
      </c>
      <c r="AN30">
        <v>2</v>
      </c>
      <c r="AO30">
        <v>2</v>
      </c>
      <c r="AP30">
        <v>2</v>
      </c>
      <c r="AQ30">
        <f t="shared" si="7"/>
        <v>1</v>
      </c>
    </row>
    <row r="31" spans="1:43" ht="13">
      <c r="A31" s="12" t="s">
        <v>23</v>
      </c>
      <c r="B31" s="13" t="s">
        <v>173</v>
      </c>
      <c r="C31" s="18">
        <v>15</v>
      </c>
      <c r="D31" s="18">
        <v>30</v>
      </c>
      <c r="E31" s="14">
        <f t="shared" si="0"/>
        <v>2</v>
      </c>
      <c r="F31" s="14">
        <f t="shared" si="0"/>
        <v>2</v>
      </c>
      <c r="G31" s="14">
        <f t="shared" si="1"/>
        <v>2</v>
      </c>
      <c r="H31" s="14" t="str">
        <f t="shared" si="2"/>
        <v>OK</v>
      </c>
      <c r="I31" s="18">
        <v>15</v>
      </c>
      <c r="J31" s="18">
        <v>30</v>
      </c>
      <c r="K31" s="16"/>
      <c r="L31" s="12"/>
      <c r="M31" s="12"/>
      <c r="N31" s="12">
        <v>1</v>
      </c>
      <c r="O31" s="12">
        <v>3</v>
      </c>
      <c r="P31" s="12">
        <f t="shared" si="3"/>
        <v>2</v>
      </c>
      <c r="Q31" s="12">
        <v>2</v>
      </c>
      <c r="R31" s="12">
        <v>2</v>
      </c>
      <c r="S31" s="12">
        <v>2</v>
      </c>
      <c r="T31" s="12">
        <v>90</v>
      </c>
      <c r="U31" s="15">
        <v>0.32699699999999998</v>
      </c>
      <c r="V31" s="15">
        <v>2.6810791E-2</v>
      </c>
      <c r="W31" s="22">
        <f t="shared" si="4"/>
        <v>0</v>
      </c>
      <c r="X31" s="12"/>
      <c r="Y31" s="12" t="s">
        <v>26</v>
      </c>
      <c r="Z31" s="12" t="s">
        <v>26</v>
      </c>
      <c r="AA31" s="12">
        <v>2</v>
      </c>
      <c r="AB31" s="17">
        <v>0.39</v>
      </c>
      <c r="AC31" s="26">
        <f t="shared" si="5"/>
        <v>0</v>
      </c>
      <c r="AD31">
        <v>250</v>
      </c>
      <c r="AE31">
        <v>4.4470000000000001</v>
      </c>
      <c r="AF31">
        <v>3.2000000000000001E-2</v>
      </c>
      <c r="AG31">
        <v>2</v>
      </c>
      <c r="AH31">
        <v>2.08</v>
      </c>
      <c r="AI31">
        <v>3</v>
      </c>
      <c r="AJ31">
        <f t="shared" si="6"/>
        <v>0</v>
      </c>
      <c r="AK31">
        <v>5</v>
      </c>
      <c r="AL31">
        <v>0.3</v>
      </c>
      <c r="AM31">
        <v>0.3</v>
      </c>
      <c r="AN31">
        <v>2</v>
      </c>
      <c r="AO31">
        <v>2</v>
      </c>
      <c r="AP31">
        <v>2</v>
      </c>
      <c r="AQ31">
        <f t="shared" si="7"/>
        <v>0</v>
      </c>
    </row>
    <row r="32" spans="1:43" ht="13">
      <c r="A32" s="12" t="s">
        <v>23</v>
      </c>
      <c r="B32" s="13" t="s">
        <v>174</v>
      </c>
      <c r="C32" s="18">
        <v>21</v>
      </c>
      <c r="D32" s="18">
        <v>45</v>
      </c>
      <c r="E32" s="14">
        <f t="shared" si="0"/>
        <v>2</v>
      </c>
      <c r="F32" s="14">
        <f t="shared" si="0"/>
        <v>2</v>
      </c>
      <c r="G32" s="14">
        <f t="shared" si="1"/>
        <v>2</v>
      </c>
      <c r="H32" s="14" t="str">
        <f t="shared" si="2"/>
        <v>OK</v>
      </c>
      <c r="I32" s="18">
        <v>21</v>
      </c>
      <c r="J32" s="18">
        <v>45</v>
      </c>
      <c r="K32" s="16"/>
      <c r="L32" s="12"/>
      <c r="M32" s="12"/>
      <c r="N32" s="12">
        <v>1</v>
      </c>
      <c r="O32" s="12">
        <v>4</v>
      </c>
      <c r="P32" s="12">
        <f t="shared" si="3"/>
        <v>2</v>
      </c>
      <c r="Q32" s="12">
        <v>2</v>
      </c>
      <c r="R32" s="12">
        <v>2</v>
      </c>
      <c r="S32" s="12">
        <v>2</v>
      </c>
      <c r="T32" s="12">
        <v>90</v>
      </c>
      <c r="U32" s="15">
        <v>0.33820520799999998</v>
      </c>
      <c r="V32" s="15">
        <v>1.5213666000000001E-2</v>
      </c>
      <c r="W32" s="22">
        <f t="shared" si="4"/>
        <v>0</v>
      </c>
      <c r="X32" s="12"/>
      <c r="Y32" s="12" t="s">
        <v>26</v>
      </c>
      <c r="Z32" s="12" t="s">
        <v>26</v>
      </c>
      <c r="AA32" s="12">
        <v>2</v>
      </c>
      <c r="AB32" s="17">
        <v>0.46</v>
      </c>
      <c r="AC32" s="26">
        <f t="shared" si="5"/>
        <v>0</v>
      </c>
      <c r="AD32">
        <v>90</v>
      </c>
      <c r="AE32">
        <v>3.3109999999999999</v>
      </c>
      <c r="AF32">
        <v>3.9E-2</v>
      </c>
      <c r="AG32">
        <v>3</v>
      </c>
      <c r="AH32">
        <v>3</v>
      </c>
      <c r="AI32">
        <v>3</v>
      </c>
      <c r="AJ32">
        <f t="shared" si="6"/>
        <v>0.5</v>
      </c>
      <c r="AK32">
        <v>5</v>
      </c>
      <c r="AL32">
        <v>0.33</v>
      </c>
      <c r="AM32">
        <v>7.0000000000000007E-2</v>
      </c>
      <c r="AN32">
        <v>3</v>
      </c>
      <c r="AO32">
        <v>3</v>
      </c>
      <c r="AP32">
        <v>3</v>
      </c>
      <c r="AQ32">
        <f t="shared" si="7"/>
        <v>0.5</v>
      </c>
    </row>
    <row r="33" spans="1:43" ht="15.75" customHeight="1">
      <c r="A33" s="12" t="s">
        <v>23</v>
      </c>
      <c r="B33" s="13" t="s">
        <v>31</v>
      </c>
      <c r="C33" s="12">
        <v>6</v>
      </c>
      <c r="D33" s="12">
        <v>9</v>
      </c>
      <c r="E33" s="14">
        <f t="shared" si="0"/>
        <v>2</v>
      </c>
      <c r="F33" s="14">
        <f t="shared" si="0"/>
        <v>2</v>
      </c>
      <c r="G33" s="14">
        <f t="shared" si="1"/>
        <v>2</v>
      </c>
      <c r="H33" s="14" t="str">
        <f t="shared" si="2"/>
        <v>OK</v>
      </c>
      <c r="I33" s="12">
        <v>6</v>
      </c>
      <c r="J33" s="12">
        <v>9</v>
      </c>
      <c r="K33" s="12">
        <v>3</v>
      </c>
      <c r="L33" s="12">
        <v>2</v>
      </c>
      <c r="M33" s="12"/>
      <c r="N33" s="12">
        <v>1</v>
      </c>
      <c r="O33" s="12">
        <v>2</v>
      </c>
      <c r="P33" s="12">
        <f t="shared" si="3"/>
        <v>2</v>
      </c>
      <c r="Q33" s="12">
        <v>2</v>
      </c>
      <c r="R33" s="12">
        <v>2</v>
      </c>
      <c r="S33" s="12">
        <v>2</v>
      </c>
      <c r="T33" s="12">
        <v>90</v>
      </c>
      <c r="U33" s="15">
        <v>0.27742737499999998</v>
      </c>
      <c r="V33" s="15">
        <v>1.5713791000000001E-2</v>
      </c>
      <c r="W33" s="22">
        <f t="shared" si="4"/>
        <v>0</v>
      </c>
      <c r="X33" s="12" t="s">
        <v>32</v>
      </c>
      <c r="Y33" s="12" t="s">
        <v>26</v>
      </c>
      <c r="Z33" s="12" t="s">
        <v>26</v>
      </c>
      <c r="AA33" s="12">
        <v>2</v>
      </c>
      <c r="AB33" s="17">
        <v>1.46</v>
      </c>
      <c r="AC33" s="26">
        <f t="shared" si="5"/>
        <v>0</v>
      </c>
      <c r="AD33">
        <v>90</v>
      </c>
      <c r="AE33">
        <v>0.55300000000000005</v>
      </c>
      <c r="AF33">
        <v>7.0000000000000001E-3</v>
      </c>
      <c r="AG33">
        <v>2</v>
      </c>
      <c r="AH33">
        <v>2</v>
      </c>
      <c r="AI33">
        <v>2</v>
      </c>
      <c r="AJ33">
        <f t="shared" si="6"/>
        <v>0</v>
      </c>
      <c r="AK33">
        <v>5</v>
      </c>
      <c r="AL33">
        <v>0.24</v>
      </c>
      <c r="AM33">
        <v>0.06</v>
      </c>
      <c r="AN33">
        <v>2</v>
      </c>
      <c r="AO33">
        <v>2</v>
      </c>
      <c r="AP33">
        <v>2</v>
      </c>
      <c r="AQ33">
        <f t="shared" si="7"/>
        <v>0</v>
      </c>
    </row>
    <row r="34" spans="1:43" ht="15.75" customHeight="1">
      <c r="A34" s="12" t="s">
        <v>23</v>
      </c>
      <c r="B34" s="13" t="s">
        <v>37</v>
      </c>
      <c r="C34" s="12">
        <v>7</v>
      </c>
      <c r="D34" s="12">
        <v>12</v>
      </c>
      <c r="E34" s="14">
        <f t="shared" si="0"/>
        <v>2</v>
      </c>
      <c r="F34" s="14">
        <f t="shared" si="0"/>
        <v>2</v>
      </c>
      <c r="G34" s="14">
        <f t="shared" si="1"/>
        <v>2</v>
      </c>
      <c r="H34" s="14" t="str">
        <f t="shared" si="2"/>
        <v>OK</v>
      </c>
      <c r="I34" s="12">
        <v>7</v>
      </c>
      <c r="J34" s="12">
        <v>12</v>
      </c>
      <c r="K34" s="12">
        <v>4</v>
      </c>
      <c r="L34" s="12">
        <v>2</v>
      </c>
      <c r="M34" s="12"/>
      <c r="N34" s="12">
        <v>1</v>
      </c>
      <c r="O34" s="12">
        <v>2</v>
      </c>
      <c r="P34" s="12">
        <f t="shared" si="3"/>
        <v>2</v>
      </c>
      <c r="Q34" s="12">
        <v>2</v>
      </c>
      <c r="R34" s="12">
        <v>2</v>
      </c>
      <c r="S34" s="12">
        <v>2</v>
      </c>
      <c r="T34" s="12">
        <v>90</v>
      </c>
      <c r="U34" s="15">
        <v>0.29242166600000002</v>
      </c>
      <c r="V34" s="15">
        <v>1.6279749999999999E-2</v>
      </c>
      <c r="W34" s="22">
        <f t="shared" si="4"/>
        <v>0</v>
      </c>
      <c r="X34" s="12" t="s">
        <v>38</v>
      </c>
      <c r="Y34" s="12" t="s">
        <v>26</v>
      </c>
      <c r="Z34" s="12" t="s">
        <v>26</v>
      </c>
      <c r="AA34" s="12">
        <v>2</v>
      </c>
      <c r="AB34" s="17">
        <v>1.56</v>
      </c>
      <c r="AC34" s="26">
        <f t="shared" si="5"/>
        <v>0</v>
      </c>
      <c r="AD34">
        <v>90</v>
      </c>
      <c r="AE34">
        <v>0.67900000000000005</v>
      </c>
      <c r="AF34">
        <v>8.0000000000000002E-3</v>
      </c>
      <c r="AG34">
        <v>2</v>
      </c>
      <c r="AH34">
        <v>2</v>
      </c>
      <c r="AI34">
        <v>2</v>
      </c>
      <c r="AJ34">
        <f t="shared" si="6"/>
        <v>0</v>
      </c>
      <c r="AK34">
        <v>5</v>
      </c>
      <c r="AL34">
        <v>0.23</v>
      </c>
      <c r="AM34">
        <v>0.05</v>
      </c>
      <c r="AN34">
        <v>2</v>
      </c>
      <c r="AO34">
        <v>2</v>
      </c>
      <c r="AP34">
        <v>2</v>
      </c>
      <c r="AQ34">
        <f t="shared" si="7"/>
        <v>0</v>
      </c>
    </row>
    <row r="35" spans="1:43" ht="15.75" customHeight="1">
      <c r="A35" s="12" t="s">
        <v>23</v>
      </c>
      <c r="B35" s="13" t="s">
        <v>45</v>
      </c>
      <c r="C35" s="12">
        <v>8</v>
      </c>
      <c r="D35" s="12">
        <v>16</v>
      </c>
      <c r="E35" s="14">
        <f t="shared" ref="E35:F66" si="8">P35</f>
        <v>2</v>
      </c>
      <c r="F35" s="14">
        <f t="shared" si="8"/>
        <v>2</v>
      </c>
      <c r="G35" s="14">
        <f t="shared" si="1"/>
        <v>2</v>
      </c>
      <c r="H35" s="14" t="str">
        <f t="shared" si="2"/>
        <v>OK</v>
      </c>
      <c r="I35" s="12">
        <v>8</v>
      </c>
      <c r="J35" s="12">
        <v>16</v>
      </c>
      <c r="K35" s="12">
        <v>4</v>
      </c>
      <c r="L35" s="12">
        <v>2</v>
      </c>
      <c r="M35" s="12"/>
      <c r="N35" s="12">
        <v>1</v>
      </c>
      <c r="O35" s="12">
        <v>2</v>
      </c>
      <c r="P35" s="12">
        <f t="shared" si="3"/>
        <v>2</v>
      </c>
      <c r="Q35" s="12">
        <v>2</v>
      </c>
      <c r="R35" s="12">
        <v>2</v>
      </c>
      <c r="S35" s="12">
        <v>2</v>
      </c>
      <c r="T35" s="12">
        <v>90</v>
      </c>
      <c r="U35" s="15">
        <v>0.32246812499999999</v>
      </c>
      <c r="V35" s="15">
        <v>2.0062919999999998E-3</v>
      </c>
      <c r="W35" s="22">
        <f t="shared" si="4"/>
        <v>0</v>
      </c>
      <c r="X35" s="12" t="s">
        <v>46</v>
      </c>
      <c r="Y35" s="12" t="s">
        <v>26</v>
      </c>
      <c r="Z35" s="12" t="s">
        <v>26</v>
      </c>
      <c r="AA35" s="12">
        <v>2</v>
      </c>
      <c r="AB35" s="17">
        <v>1.43</v>
      </c>
      <c r="AC35" s="26">
        <f t="shared" si="5"/>
        <v>0</v>
      </c>
      <c r="AD35">
        <v>90</v>
      </c>
      <c r="AE35">
        <v>0.82299999999999995</v>
      </c>
      <c r="AF35">
        <v>8.9999999999999993E-3</v>
      </c>
      <c r="AG35">
        <v>2</v>
      </c>
      <c r="AH35">
        <v>2</v>
      </c>
      <c r="AI35">
        <v>2</v>
      </c>
      <c r="AJ35">
        <f t="shared" si="6"/>
        <v>0</v>
      </c>
      <c r="AK35">
        <v>5</v>
      </c>
      <c r="AL35">
        <v>0.24</v>
      </c>
      <c r="AM35">
        <v>0.04</v>
      </c>
      <c r="AN35">
        <v>2</v>
      </c>
      <c r="AO35">
        <v>2</v>
      </c>
      <c r="AP35">
        <v>2</v>
      </c>
      <c r="AQ35">
        <f t="shared" si="7"/>
        <v>0</v>
      </c>
    </row>
    <row r="36" spans="1:43" ht="15.75" customHeight="1">
      <c r="A36" s="12" t="s">
        <v>23</v>
      </c>
      <c r="B36" s="13" t="s">
        <v>59</v>
      </c>
      <c r="C36" s="12">
        <v>10</v>
      </c>
      <c r="D36" s="12">
        <v>25</v>
      </c>
      <c r="E36" s="14">
        <f t="shared" si="8"/>
        <v>2</v>
      </c>
      <c r="F36" s="14">
        <f t="shared" si="8"/>
        <v>2</v>
      </c>
      <c r="G36" s="14">
        <f t="shared" si="1"/>
        <v>2</v>
      </c>
      <c r="H36" s="14" t="str">
        <f t="shared" si="2"/>
        <v>OK</v>
      </c>
      <c r="I36" s="12">
        <v>10</v>
      </c>
      <c r="J36" s="12">
        <v>25</v>
      </c>
      <c r="K36" s="12">
        <v>5</v>
      </c>
      <c r="L36" s="12">
        <v>2</v>
      </c>
      <c r="M36" s="12"/>
      <c r="N36" s="12">
        <v>2</v>
      </c>
      <c r="O36" s="12">
        <v>3</v>
      </c>
      <c r="P36" s="12">
        <f t="shared" si="3"/>
        <v>2</v>
      </c>
      <c r="Q36" s="12">
        <v>2</v>
      </c>
      <c r="R36" s="12">
        <v>2.1240000000000001</v>
      </c>
      <c r="S36" s="12">
        <v>3</v>
      </c>
      <c r="T36" s="12">
        <v>250</v>
      </c>
      <c r="U36" s="15">
        <v>0.71663454100000001</v>
      </c>
      <c r="V36" s="15">
        <v>2.3739040999999999E-2</v>
      </c>
      <c r="W36" s="22">
        <f t="shared" si="4"/>
        <v>0</v>
      </c>
      <c r="X36" s="12" t="s">
        <v>60</v>
      </c>
      <c r="Y36" s="12" t="s">
        <v>26</v>
      </c>
      <c r="Z36" s="12" t="s">
        <v>26</v>
      </c>
      <c r="AA36" s="18">
        <v>2</v>
      </c>
      <c r="AB36" s="19">
        <v>0.84</v>
      </c>
      <c r="AC36" s="26">
        <f t="shared" si="5"/>
        <v>0</v>
      </c>
      <c r="AD36">
        <v>90</v>
      </c>
      <c r="AE36">
        <v>1.351</v>
      </c>
      <c r="AF36">
        <v>1.4999999999999999E-2</v>
      </c>
      <c r="AG36">
        <v>2</v>
      </c>
      <c r="AH36">
        <v>2</v>
      </c>
      <c r="AI36">
        <v>2</v>
      </c>
      <c r="AJ36">
        <f t="shared" si="6"/>
        <v>0</v>
      </c>
      <c r="AK36">
        <v>5</v>
      </c>
      <c r="AL36">
        <v>0.28000000000000003</v>
      </c>
      <c r="AM36">
        <v>0.06</v>
      </c>
      <c r="AN36">
        <v>2</v>
      </c>
      <c r="AO36">
        <v>2</v>
      </c>
      <c r="AP36">
        <v>2</v>
      </c>
      <c r="AQ36">
        <f t="shared" si="7"/>
        <v>0</v>
      </c>
    </row>
    <row r="37" spans="1:43" ht="15.75" customHeight="1">
      <c r="A37" s="12" t="s">
        <v>23</v>
      </c>
      <c r="B37" s="13" t="s">
        <v>99</v>
      </c>
      <c r="C37" s="12">
        <v>15</v>
      </c>
      <c r="D37" s="12">
        <v>56</v>
      </c>
      <c r="E37" s="14">
        <f t="shared" si="8"/>
        <v>3</v>
      </c>
      <c r="F37" s="14">
        <f t="shared" si="8"/>
        <v>3</v>
      </c>
      <c r="G37" s="14">
        <f t="shared" si="1"/>
        <v>3</v>
      </c>
      <c r="H37" s="14" t="str">
        <f t="shared" si="2"/>
        <v>OK</v>
      </c>
      <c r="I37" s="12">
        <v>15</v>
      </c>
      <c r="J37" s="12">
        <v>56</v>
      </c>
      <c r="K37" s="12">
        <v>8</v>
      </c>
      <c r="L37" s="12">
        <v>2</v>
      </c>
      <c r="M37" s="12"/>
      <c r="N37" s="12">
        <v>2</v>
      </c>
      <c r="O37" s="12">
        <v>3</v>
      </c>
      <c r="P37" s="12">
        <f t="shared" si="3"/>
        <v>3</v>
      </c>
      <c r="Q37" s="12">
        <v>3</v>
      </c>
      <c r="R37" s="12">
        <v>3</v>
      </c>
      <c r="S37" s="12">
        <v>3</v>
      </c>
      <c r="T37" s="12">
        <v>90</v>
      </c>
      <c r="U37" s="15">
        <v>0.59162999999999999</v>
      </c>
      <c r="V37" s="15">
        <v>3.2318417000000002E-2</v>
      </c>
      <c r="W37" s="22">
        <f t="shared" si="4"/>
        <v>0</v>
      </c>
      <c r="X37" s="12"/>
      <c r="Y37" s="12" t="s">
        <v>26</v>
      </c>
      <c r="Z37" s="12" t="s">
        <v>26</v>
      </c>
      <c r="AA37" s="12">
        <v>3</v>
      </c>
      <c r="AB37" s="17">
        <v>3.44</v>
      </c>
      <c r="AC37" s="26">
        <f t="shared" si="5"/>
        <v>0</v>
      </c>
      <c r="AD37">
        <v>90</v>
      </c>
      <c r="AE37">
        <v>3.198</v>
      </c>
      <c r="AF37">
        <v>3.5999999999999997E-2</v>
      </c>
      <c r="AG37">
        <v>3</v>
      </c>
      <c r="AH37">
        <v>3</v>
      </c>
      <c r="AI37">
        <v>3</v>
      </c>
      <c r="AJ37">
        <f t="shared" si="6"/>
        <v>0</v>
      </c>
      <c r="AK37">
        <v>5</v>
      </c>
      <c r="AL37">
        <v>0.39</v>
      </c>
      <c r="AM37">
        <v>0.08</v>
      </c>
      <c r="AN37">
        <v>3</v>
      </c>
      <c r="AO37">
        <v>3</v>
      </c>
      <c r="AP37">
        <v>3</v>
      </c>
      <c r="AQ37">
        <f t="shared" si="7"/>
        <v>0</v>
      </c>
    </row>
    <row r="38" spans="1:43" ht="15.75" customHeight="1">
      <c r="A38" s="12" t="s">
        <v>23</v>
      </c>
      <c r="B38" s="13" t="s">
        <v>49</v>
      </c>
      <c r="C38" s="12">
        <v>9</v>
      </c>
      <c r="D38" s="12">
        <v>18</v>
      </c>
      <c r="E38" s="14">
        <f t="shared" si="8"/>
        <v>2</v>
      </c>
      <c r="F38" s="14">
        <f t="shared" si="8"/>
        <v>2</v>
      </c>
      <c r="G38" s="14">
        <f t="shared" si="1"/>
        <v>2</v>
      </c>
      <c r="H38" s="14" t="str">
        <f t="shared" si="2"/>
        <v>OK</v>
      </c>
      <c r="I38" s="12">
        <v>9</v>
      </c>
      <c r="J38" s="12">
        <v>18</v>
      </c>
      <c r="K38" s="12">
        <v>4</v>
      </c>
      <c r="L38" s="12">
        <v>2</v>
      </c>
      <c r="M38" s="12">
        <v>2</v>
      </c>
      <c r="N38" s="12">
        <v>1</v>
      </c>
      <c r="O38" s="12">
        <v>2</v>
      </c>
      <c r="P38" s="12">
        <f t="shared" si="3"/>
        <v>2</v>
      </c>
      <c r="Q38" s="12">
        <v>2</v>
      </c>
      <c r="R38" s="12">
        <v>2</v>
      </c>
      <c r="S38" s="12">
        <v>2</v>
      </c>
      <c r="T38" s="12">
        <v>90</v>
      </c>
      <c r="U38" s="15">
        <v>0.39516295800000001</v>
      </c>
      <c r="V38" s="15">
        <v>1.6094166E-2</v>
      </c>
      <c r="W38" s="22">
        <f t="shared" si="4"/>
        <v>0</v>
      </c>
      <c r="X38" s="12" t="s">
        <v>50</v>
      </c>
      <c r="Y38" s="12" t="s">
        <v>26</v>
      </c>
      <c r="Z38" s="12" t="s">
        <v>26</v>
      </c>
      <c r="AA38" s="12">
        <v>2</v>
      </c>
      <c r="AB38" s="17">
        <v>1.45</v>
      </c>
      <c r="AC38" s="26">
        <f t="shared" si="5"/>
        <v>0</v>
      </c>
      <c r="AD38">
        <v>90</v>
      </c>
      <c r="AE38">
        <v>1</v>
      </c>
      <c r="AF38">
        <v>1.0999999999999999E-2</v>
      </c>
      <c r="AG38">
        <v>2</v>
      </c>
      <c r="AH38">
        <v>2</v>
      </c>
      <c r="AI38">
        <v>2</v>
      </c>
      <c r="AJ38">
        <f t="shared" si="6"/>
        <v>0</v>
      </c>
      <c r="AK38">
        <v>5</v>
      </c>
      <c r="AL38">
        <v>0.28000000000000003</v>
      </c>
      <c r="AM38">
        <v>0.06</v>
      </c>
      <c r="AN38">
        <v>2</v>
      </c>
      <c r="AO38">
        <v>2</v>
      </c>
      <c r="AP38">
        <v>2</v>
      </c>
      <c r="AQ38">
        <f t="shared" si="7"/>
        <v>0</v>
      </c>
    </row>
    <row r="39" spans="1:43" ht="15.75" customHeight="1">
      <c r="A39" s="12" t="s">
        <v>23</v>
      </c>
      <c r="B39" s="13" t="s">
        <v>81</v>
      </c>
      <c r="C39" s="12">
        <v>12</v>
      </c>
      <c r="D39" s="12">
        <v>24</v>
      </c>
      <c r="E39" s="14">
        <f t="shared" si="8"/>
        <v>2</v>
      </c>
      <c r="F39" s="14">
        <f t="shared" si="8"/>
        <v>2</v>
      </c>
      <c r="G39" s="14">
        <f t="shared" si="1"/>
        <v>2</v>
      </c>
      <c r="H39" s="14" t="str">
        <f t="shared" si="2"/>
        <v>OK</v>
      </c>
      <c r="I39" s="12">
        <v>12</v>
      </c>
      <c r="J39" s="12">
        <v>24</v>
      </c>
      <c r="K39" s="12">
        <v>4</v>
      </c>
      <c r="L39" s="12">
        <v>3</v>
      </c>
      <c r="M39" s="12">
        <v>2</v>
      </c>
      <c r="N39" s="12">
        <v>1</v>
      </c>
      <c r="O39" s="12">
        <v>3</v>
      </c>
      <c r="P39" s="12">
        <f t="shared" si="3"/>
        <v>2</v>
      </c>
      <c r="Q39" s="12">
        <v>2</v>
      </c>
      <c r="R39" s="12">
        <v>2</v>
      </c>
      <c r="S39" s="12">
        <v>2</v>
      </c>
      <c r="T39" s="12">
        <v>90</v>
      </c>
      <c r="U39" s="15">
        <v>0.29243612499999999</v>
      </c>
      <c r="V39" s="15">
        <v>3.5595829999999998E-3</v>
      </c>
      <c r="W39" s="22">
        <f t="shared" si="4"/>
        <v>0</v>
      </c>
      <c r="X39" s="12" t="s">
        <v>82</v>
      </c>
      <c r="Y39" s="12" t="s">
        <v>26</v>
      </c>
      <c r="Z39" s="12" t="s">
        <v>26</v>
      </c>
      <c r="AA39" s="12">
        <v>2</v>
      </c>
      <c r="AB39" s="17">
        <v>1.55</v>
      </c>
      <c r="AC39" s="26">
        <f t="shared" si="5"/>
        <v>0</v>
      </c>
      <c r="AD39">
        <v>90</v>
      </c>
      <c r="AE39">
        <v>1.97</v>
      </c>
      <c r="AF39">
        <v>2.1999999999999999E-2</v>
      </c>
      <c r="AG39">
        <v>2</v>
      </c>
      <c r="AH39">
        <v>2</v>
      </c>
      <c r="AI39">
        <v>2</v>
      </c>
      <c r="AJ39">
        <f t="shared" si="6"/>
        <v>0</v>
      </c>
      <c r="AK39">
        <v>5</v>
      </c>
      <c r="AL39">
        <v>0.28999999999999998</v>
      </c>
      <c r="AM39">
        <v>0.06</v>
      </c>
      <c r="AN39">
        <v>2</v>
      </c>
      <c r="AO39">
        <v>2</v>
      </c>
      <c r="AP39">
        <v>2</v>
      </c>
      <c r="AQ39">
        <f t="shared" si="7"/>
        <v>0</v>
      </c>
    </row>
    <row r="40" spans="1:43" ht="15.75" customHeight="1">
      <c r="A40" s="12" t="s">
        <v>23</v>
      </c>
      <c r="B40" s="13" t="s">
        <v>83</v>
      </c>
      <c r="C40" s="12">
        <v>12</v>
      </c>
      <c r="D40" s="12">
        <v>30</v>
      </c>
      <c r="E40" s="14">
        <f t="shared" si="8"/>
        <v>2</v>
      </c>
      <c r="F40" s="14">
        <f t="shared" si="8"/>
        <v>2</v>
      </c>
      <c r="G40" s="14">
        <f t="shared" si="1"/>
        <v>2</v>
      </c>
      <c r="H40" s="14" t="str">
        <f t="shared" si="2"/>
        <v>OK</v>
      </c>
      <c r="I40" s="12">
        <v>12</v>
      </c>
      <c r="J40" s="12">
        <v>30</v>
      </c>
      <c r="K40" s="12">
        <v>5</v>
      </c>
      <c r="L40" s="12">
        <v>2</v>
      </c>
      <c r="M40" s="12"/>
      <c r="N40" s="12">
        <v>2</v>
      </c>
      <c r="O40" s="12">
        <v>3</v>
      </c>
      <c r="P40" s="12">
        <f t="shared" si="3"/>
        <v>2</v>
      </c>
      <c r="Q40" s="12">
        <v>2</v>
      </c>
      <c r="R40" s="12">
        <v>2</v>
      </c>
      <c r="S40" s="12">
        <v>2</v>
      </c>
      <c r="T40" s="12">
        <v>90</v>
      </c>
      <c r="U40" s="15">
        <v>0.30570870900000002</v>
      </c>
      <c r="V40" s="15">
        <v>3.9509999999999997E-3</v>
      </c>
      <c r="W40" s="22">
        <f t="shared" si="4"/>
        <v>0</v>
      </c>
      <c r="X40" s="12" t="s">
        <v>84</v>
      </c>
      <c r="Y40" s="12" t="s">
        <v>26</v>
      </c>
      <c r="Z40" s="12" t="s">
        <v>26</v>
      </c>
      <c r="AA40" s="18">
        <v>2</v>
      </c>
      <c r="AB40" s="19">
        <v>0.83</v>
      </c>
      <c r="AC40" s="26">
        <f t="shared" si="5"/>
        <v>0</v>
      </c>
      <c r="AD40">
        <v>90</v>
      </c>
      <c r="AE40">
        <v>1.83</v>
      </c>
      <c r="AF40">
        <v>1.9E-2</v>
      </c>
      <c r="AG40">
        <v>3</v>
      </c>
      <c r="AH40">
        <v>3</v>
      </c>
      <c r="AI40">
        <v>3</v>
      </c>
      <c r="AJ40">
        <f t="shared" si="6"/>
        <v>0.5</v>
      </c>
      <c r="AK40">
        <v>5</v>
      </c>
      <c r="AL40">
        <v>0.28000000000000003</v>
      </c>
      <c r="AM40">
        <v>0.06</v>
      </c>
      <c r="AN40">
        <v>2</v>
      </c>
      <c r="AO40">
        <v>2</v>
      </c>
      <c r="AP40">
        <v>2</v>
      </c>
      <c r="AQ40">
        <f t="shared" si="7"/>
        <v>0</v>
      </c>
    </row>
    <row r="41" spans="1:43" ht="15.75" customHeight="1">
      <c r="A41" s="12" t="s">
        <v>23</v>
      </c>
      <c r="B41" s="13" t="s">
        <v>105</v>
      </c>
      <c r="C41" s="12">
        <v>16</v>
      </c>
      <c r="D41" s="12">
        <v>32</v>
      </c>
      <c r="E41" s="14">
        <f t="shared" si="8"/>
        <v>2</v>
      </c>
      <c r="F41" s="14">
        <f t="shared" si="8"/>
        <v>2</v>
      </c>
      <c r="G41" s="14">
        <f t="shared" si="1"/>
        <v>2</v>
      </c>
      <c r="H41" s="14" t="str">
        <f t="shared" si="2"/>
        <v>OK</v>
      </c>
      <c r="I41" s="12">
        <v>16</v>
      </c>
      <c r="J41" s="12">
        <v>32</v>
      </c>
      <c r="K41" s="12">
        <v>4</v>
      </c>
      <c r="L41" s="12">
        <v>4</v>
      </c>
      <c r="M41" s="12">
        <v>2</v>
      </c>
      <c r="N41" s="12">
        <v>1</v>
      </c>
      <c r="O41" s="12">
        <v>3</v>
      </c>
      <c r="P41" s="12">
        <f t="shared" si="3"/>
        <v>2</v>
      </c>
      <c r="Q41" s="12">
        <v>2</v>
      </c>
      <c r="R41" s="12">
        <v>2.2400000000000002</v>
      </c>
      <c r="S41" s="12">
        <v>3</v>
      </c>
      <c r="T41" s="12">
        <v>250</v>
      </c>
      <c r="U41" s="15">
        <v>0.54315858400000006</v>
      </c>
      <c r="V41" s="15">
        <v>1.4845834E-2</v>
      </c>
      <c r="W41" s="22">
        <f t="shared" si="4"/>
        <v>0</v>
      </c>
      <c r="X41" s="12"/>
      <c r="Y41" s="12" t="s">
        <v>26</v>
      </c>
      <c r="Z41" s="12" t="s">
        <v>26</v>
      </c>
      <c r="AA41" s="12">
        <v>2</v>
      </c>
      <c r="AB41" s="17">
        <v>0.86</v>
      </c>
      <c r="AC41" s="26">
        <f t="shared" si="5"/>
        <v>0</v>
      </c>
      <c r="AD41">
        <v>250</v>
      </c>
      <c r="AE41">
        <v>10.398999999999999</v>
      </c>
      <c r="AF41">
        <v>0.22700000000000001</v>
      </c>
      <c r="AG41">
        <v>2</v>
      </c>
      <c r="AH41">
        <v>2.99</v>
      </c>
      <c r="AI41">
        <v>3</v>
      </c>
      <c r="AJ41">
        <f t="shared" si="6"/>
        <v>0</v>
      </c>
      <c r="AK41">
        <v>5</v>
      </c>
      <c r="AL41">
        <v>0.26</v>
      </c>
      <c r="AM41">
        <v>0.1</v>
      </c>
      <c r="AN41">
        <v>2</v>
      </c>
      <c r="AO41">
        <v>2</v>
      </c>
      <c r="AP41">
        <v>2</v>
      </c>
      <c r="AQ41">
        <f t="shared" si="7"/>
        <v>0</v>
      </c>
    </row>
    <row r="42" spans="1:43" ht="15.75" customHeight="1">
      <c r="A42" s="12" t="s">
        <v>23</v>
      </c>
      <c r="B42" s="13" t="s">
        <v>112</v>
      </c>
      <c r="C42" s="12">
        <v>20</v>
      </c>
      <c r="D42" s="12">
        <v>40</v>
      </c>
      <c r="E42" s="14">
        <f t="shared" si="8"/>
        <v>2</v>
      </c>
      <c r="F42" s="14">
        <f t="shared" si="8"/>
        <v>2</v>
      </c>
      <c r="G42" s="14">
        <f t="shared" si="1"/>
        <v>2</v>
      </c>
      <c r="H42" s="14" t="str">
        <f t="shared" si="2"/>
        <v>OK</v>
      </c>
      <c r="I42" s="12">
        <v>20</v>
      </c>
      <c r="J42" s="12">
        <v>40</v>
      </c>
      <c r="K42" s="12">
        <v>4</v>
      </c>
      <c r="L42" s="12">
        <v>4</v>
      </c>
      <c r="M42" s="12">
        <v>2</v>
      </c>
      <c r="N42" s="12">
        <v>1</v>
      </c>
      <c r="O42" s="12">
        <v>4</v>
      </c>
      <c r="P42" s="12">
        <f t="shared" si="3"/>
        <v>2</v>
      </c>
      <c r="Q42" s="12">
        <v>2</v>
      </c>
      <c r="R42" s="12">
        <v>2</v>
      </c>
      <c r="S42" s="12">
        <v>2</v>
      </c>
      <c r="T42" s="12">
        <v>90</v>
      </c>
      <c r="U42" s="15">
        <v>0.31023379200000001</v>
      </c>
      <c r="V42" s="15">
        <v>6.136E-3</v>
      </c>
      <c r="W42" s="22">
        <f t="shared" si="4"/>
        <v>0</v>
      </c>
      <c r="X42" s="12"/>
      <c r="Y42" s="12" t="s">
        <v>26</v>
      </c>
      <c r="Z42" s="12" t="s">
        <v>26</v>
      </c>
      <c r="AA42" s="18">
        <v>2</v>
      </c>
      <c r="AB42" s="19">
        <v>0.87</v>
      </c>
      <c r="AC42" s="26">
        <f t="shared" si="5"/>
        <v>0</v>
      </c>
      <c r="AD42">
        <v>90</v>
      </c>
      <c r="AE42">
        <v>7.5190000000000001</v>
      </c>
      <c r="AF42">
        <v>8.1000000000000003E-2</v>
      </c>
      <c r="AG42">
        <v>3</v>
      </c>
      <c r="AH42">
        <v>3</v>
      </c>
      <c r="AI42">
        <v>3</v>
      </c>
      <c r="AJ42">
        <f t="shared" si="6"/>
        <v>0.5</v>
      </c>
      <c r="AK42">
        <v>5</v>
      </c>
      <c r="AL42">
        <v>0.27</v>
      </c>
      <c r="AM42">
        <v>0.21</v>
      </c>
      <c r="AN42">
        <v>3</v>
      </c>
      <c r="AO42">
        <v>3</v>
      </c>
      <c r="AP42">
        <v>3</v>
      </c>
      <c r="AQ42">
        <f t="shared" si="7"/>
        <v>0.5</v>
      </c>
    </row>
    <row r="43" spans="1:43" ht="15.75" customHeight="1">
      <c r="A43" s="12" t="s">
        <v>23</v>
      </c>
      <c r="B43" s="13" t="s">
        <v>113</v>
      </c>
      <c r="C43" s="12">
        <v>20</v>
      </c>
      <c r="D43" s="12">
        <v>60</v>
      </c>
      <c r="E43" s="14">
        <f t="shared" si="8"/>
        <v>2</v>
      </c>
      <c r="F43" s="14">
        <f t="shared" si="8"/>
        <v>2</v>
      </c>
      <c r="G43" s="14">
        <f t="shared" si="1"/>
        <v>2</v>
      </c>
      <c r="H43" s="14" t="str">
        <f t="shared" si="2"/>
        <v>OK</v>
      </c>
      <c r="I43" s="12">
        <v>20</v>
      </c>
      <c r="J43" s="12">
        <v>60</v>
      </c>
      <c r="K43" s="12">
        <v>6</v>
      </c>
      <c r="L43" s="12">
        <v>3</v>
      </c>
      <c r="M43" s="12"/>
      <c r="N43" s="12">
        <v>2</v>
      </c>
      <c r="O43" s="12">
        <v>4</v>
      </c>
      <c r="P43" s="12">
        <f t="shared" si="3"/>
        <v>2</v>
      </c>
      <c r="Q43" s="12">
        <v>2</v>
      </c>
      <c r="R43" s="12">
        <v>2.96</v>
      </c>
      <c r="S43" s="12">
        <v>3</v>
      </c>
      <c r="T43" s="12">
        <v>250</v>
      </c>
      <c r="U43" s="15">
        <v>0.69532016699999999</v>
      </c>
      <c r="V43" s="15">
        <v>0.19158275</v>
      </c>
      <c r="W43" s="22">
        <f t="shared" si="4"/>
        <v>0</v>
      </c>
      <c r="X43" s="12"/>
      <c r="Y43" s="12" t="s">
        <v>26</v>
      </c>
      <c r="Z43" s="12" t="s">
        <v>26</v>
      </c>
      <c r="AA43" s="18">
        <v>2</v>
      </c>
      <c r="AB43" s="19">
        <v>1.39</v>
      </c>
      <c r="AC43" s="26">
        <f t="shared" si="5"/>
        <v>0</v>
      </c>
      <c r="AD43">
        <v>90</v>
      </c>
      <c r="AE43">
        <v>7.8380000000000001</v>
      </c>
      <c r="AF43">
        <v>9.5000000000000001E-2</v>
      </c>
      <c r="AG43">
        <v>3</v>
      </c>
      <c r="AH43">
        <v>3</v>
      </c>
      <c r="AI43">
        <v>3</v>
      </c>
      <c r="AJ43">
        <f t="shared" si="6"/>
        <v>0.5</v>
      </c>
      <c r="AK43">
        <v>5</v>
      </c>
      <c r="AL43">
        <v>0.34</v>
      </c>
      <c r="AM43">
        <v>0.13</v>
      </c>
      <c r="AN43">
        <v>3</v>
      </c>
      <c r="AO43">
        <v>3</v>
      </c>
      <c r="AP43">
        <v>3</v>
      </c>
      <c r="AQ43">
        <f t="shared" si="7"/>
        <v>0.5</v>
      </c>
    </row>
    <row r="44" spans="1:43" ht="15.75" customHeight="1">
      <c r="A44" s="12" t="s">
        <v>23</v>
      </c>
      <c r="B44" s="13" t="s">
        <v>121</v>
      </c>
      <c r="C44" s="12">
        <v>25</v>
      </c>
      <c r="D44" s="12">
        <v>50</v>
      </c>
      <c r="E44" s="14">
        <f t="shared" si="8"/>
        <v>2</v>
      </c>
      <c r="F44" s="14">
        <f t="shared" si="8"/>
        <v>2</v>
      </c>
      <c r="G44" s="14">
        <f t="shared" si="1"/>
        <v>2</v>
      </c>
      <c r="H44" s="14" t="str">
        <f t="shared" si="2"/>
        <v>OK</v>
      </c>
      <c r="I44" s="12">
        <v>25</v>
      </c>
      <c r="J44" s="12">
        <v>50</v>
      </c>
      <c r="K44" s="12">
        <v>4</v>
      </c>
      <c r="L44" s="12">
        <v>4</v>
      </c>
      <c r="M44" s="12">
        <v>2</v>
      </c>
      <c r="N44" s="12">
        <v>1</v>
      </c>
      <c r="O44" s="12">
        <v>4</v>
      </c>
      <c r="P44" s="12">
        <f t="shared" si="3"/>
        <v>2</v>
      </c>
      <c r="Q44" s="12">
        <v>2</v>
      </c>
      <c r="R44" s="12">
        <v>2.8279999999999998</v>
      </c>
      <c r="S44" s="12">
        <v>3</v>
      </c>
      <c r="T44" s="12">
        <v>250</v>
      </c>
      <c r="U44" s="15">
        <v>0.704485625</v>
      </c>
      <c r="V44" s="15">
        <v>6.1316625E-2</v>
      </c>
      <c r="W44" s="22">
        <f t="shared" si="4"/>
        <v>0</v>
      </c>
      <c r="X44" s="12"/>
      <c r="Y44" s="12" t="s">
        <v>26</v>
      </c>
      <c r="Z44" s="12" t="s">
        <v>26</v>
      </c>
      <c r="AA44" s="12">
        <v>2</v>
      </c>
      <c r="AB44" s="17">
        <v>0.99</v>
      </c>
      <c r="AC44" s="26">
        <f t="shared" si="5"/>
        <v>0</v>
      </c>
      <c r="AD44">
        <v>250</v>
      </c>
      <c r="AE44">
        <v>38.965000000000003</v>
      </c>
      <c r="AF44">
        <v>0.58099999999999996</v>
      </c>
      <c r="AG44">
        <v>3</v>
      </c>
      <c r="AH44">
        <v>3.84</v>
      </c>
      <c r="AI44">
        <v>4</v>
      </c>
      <c r="AJ44">
        <f t="shared" si="6"/>
        <v>0.5</v>
      </c>
      <c r="AK44">
        <v>5</v>
      </c>
      <c r="AL44">
        <v>0.31</v>
      </c>
      <c r="AM44">
        <v>0.12</v>
      </c>
      <c r="AN44">
        <v>3</v>
      </c>
      <c r="AO44">
        <v>3</v>
      </c>
      <c r="AP44">
        <v>3</v>
      </c>
      <c r="AQ44">
        <f t="shared" si="7"/>
        <v>0.5</v>
      </c>
    </row>
    <row r="45" spans="1:43" ht="15.75" customHeight="1">
      <c r="A45" s="12" t="s">
        <v>23</v>
      </c>
      <c r="B45" s="13" t="s">
        <v>63</v>
      </c>
      <c r="C45" s="12">
        <v>10</v>
      </c>
      <c r="D45" s="12">
        <v>20</v>
      </c>
      <c r="E45" s="14">
        <f t="shared" si="8"/>
        <v>2</v>
      </c>
      <c r="F45" s="14">
        <f t="shared" si="8"/>
        <v>2</v>
      </c>
      <c r="G45" s="14">
        <f t="shared" si="1"/>
        <v>2</v>
      </c>
      <c r="H45" s="14" t="str">
        <f t="shared" si="2"/>
        <v>OK</v>
      </c>
      <c r="I45" s="12">
        <v>10</v>
      </c>
      <c r="J45" s="12">
        <v>20</v>
      </c>
      <c r="K45" s="12">
        <v>4</v>
      </c>
      <c r="L45" s="12">
        <v>3</v>
      </c>
      <c r="M45" s="12"/>
      <c r="N45" s="12">
        <v>1</v>
      </c>
      <c r="O45" s="12">
        <v>3</v>
      </c>
      <c r="P45" s="12">
        <f t="shared" si="3"/>
        <v>2</v>
      </c>
      <c r="Q45" s="12">
        <v>2</v>
      </c>
      <c r="R45" s="12">
        <v>2</v>
      </c>
      <c r="S45" s="12">
        <v>2</v>
      </c>
      <c r="T45" s="12">
        <v>90</v>
      </c>
      <c r="U45" s="15">
        <v>9.640775E-2</v>
      </c>
      <c r="V45" s="15">
        <v>1.2661250000000001E-3</v>
      </c>
      <c r="W45" s="22">
        <f t="shared" si="4"/>
        <v>0</v>
      </c>
      <c r="X45" s="12" t="s">
        <v>64</v>
      </c>
      <c r="Y45" s="12" t="s">
        <v>26</v>
      </c>
      <c r="Z45" s="12" t="s">
        <v>26</v>
      </c>
      <c r="AA45" s="12">
        <v>2</v>
      </c>
      <c r="AB45" s="17">
        <v>1.44</v>
      </c>
      <c r="AC45" s="26">
        <f t="shared" si="5"/>
        <v>0</v>
      </c>
      <c r="AD45">
        <v>90</v>
      </c>
      <c r="AE45">
        <v>1.341</v>
      </c>
      <c r="AF45">
        <v>1.4999999999999999E-2</v>
      </c>
      <c r="AG45">
        <v>2</v>
      </c>
      <c r="AH45">
        <v>2</v>
      </c>
      <c r="AI45">
        <v>2</v>
      </c>
      <c r="AJ45">
        <f t="shared" si="6"/>
        <v>0</v>
      </c>
      <c r="AK45">
        <v>5</v>
      </c>
      <c r="AL45">
        <v>0.24</v>
      </c>
      <c r="AM45">
        <v>0.15</v>
      </c>
      <c r="AN45">
        <v>2</v>
      </c>
      <c r="AO45">
        <v>2</v>
      </c>
      <c r="AP45">
        <v>2</v>
      </c>
      <c r="AQ45">
        <f t="shared" si="7"/>
        <v>0</v>
      </c>
    </row>
    <row r="46" spans="1:43" ht="15.75" customHeight="1">
      <c r="A46" s="12" t="s">
        <v>23</v>
      </c>
      <c r="B46" s="13" t="s">
        <v>79</v>
      </c>
      <c r="C46" s="12">
        <v>11</v>
      </c>
      <c r="D46" s="12">
        <v>22</v>
      </c>
      <c r="E46" s="14">
        <f t="shared" si="8"/>
        <v>2</v>
      </c>
      <c r="F46" s="14">
        <f t="shared" si="8"/>
        <v>2</v>
      </c>
      <c r="G46" s="14">
        <f t="shared" si="1"/>
        <v>2</v>
      </c>
      <c r="H46" s="14" t="str">
        <f t="shared" si="2"/>
        <v>OK</v>
      </c>
      <c r="I46" s="12">
        <v>11</v>
      </c>
      <c r="J46" s="12">
        <v>22</v>
      </c>
      <c r="K46" s="12">
        <v>4</v>
      </c>
      <c r="L46" s="12">
        <v>3</v>
      </c>
      <c r="M46" s="12"/>
      <c r="N46" s="12">
        <v>1</v>
      </c>
      <c r="O46" s="12">
        <v>3</v>
      </c>
      <c r="P46" s="12">
        <f t="shared" si="3"/>
        <v>2</v>
      </c>
      <c r="Q46" s="12">
        <v>2</v>
      </c>
      <c r="R46" s="12">
        <v>2</v>
      </c>
      <c r="S46" s="12">
        <v>2</v>
      </c>
      <c r="T46" s="12">
        <v>90</v>
      </c>
      <c r="U46" s="15">
        <v>8.9839583000000001E-2</v>
      </c>
      <c r="V46" s="15">
        <v>1.0635830000000001E-3</v>
      </c>
      <c r="W46" s="22">
        <f t="shared" si="4"/>
        <v>0</v>
      </c>
      <c r="X46" s="12" t="s">
        <v>80</v>
      </c>
      <c r="Y46" s="12" t="s">
        <v>26</v>
      </c>
      <c r="Z46" s="12" t="s">
        <v>26</v>
      </c>
      <c r="AA46" s="12">
        <v>2</v>
      </c>
      <c r="AB46" s="17">
        <v>0.78</v>
      </c>
      <c r="AC46" s="26">
        <f t="shared" si="5"/>
        <v>0</v>
      </c>
      <c r="AD46">
        <v>90</v>
      </c>
      <c r="AE46">
        <v>1.627</v>
      </c>
      <c r="AF46">
        <v>1.7000000000000001E-2</v>
      </c>
      <c r="AG46">
        <v>2</v>
      </c>
      <c r="AH46">
        <v>2</v>
      </c>
      <c r="AI46">
        <v>2</v>
      </c>
      <c r="AJ46">
        <f t="shared" si="6"/>
        <v>0</v>
      </c>
      <c r="AK46">
        <v>5</v>
      </c>
      <c r="AL46">
        <v>0.25</v>
      </c>
      <c r="AM46">
        <v>0.05</v>
      </c>
      <c r="AN46">
        <v>2</v>
      </c>
      <c r="AO46">
        <v>2</v>
      </c>
      <c r="AP46">
        <v>2</v>
      </c>
      <c r="AQ46">
        <f t="shared" si="7"/>
        <v>0</v>
      </c>
    </row>
    <row r="47" spans="1:43" ht="15.75" customHeight="1">
      <c r="A47" s="12" t="s">
        <v>23</v>
      </c>
      <c r="B47" s="13" t="s">
        <v>85</v>
      </c>
      <c r="C47" s="12">
        <v>12</v>
      </c>
      <c r="D47" s="12">
        <v>24</v>
      </c>
      <c r="E47" s="14">
        <f t="shared" si="8"/>
        <v>1</v>
      </c>
      <c r="F47" s="14">
        <f t="shared" si="8"/>
        <v>2</v>
      </c>
      <c r="G47" s="14">
        <f t="shared" si="1"/>
        <v>1</v>
      </c>
      <c r="H47" s="14" t="str">
        <f t="shared" si="2"/>
        <v>OK</v>
      </c>
      <c r="I47" s="12">
        <v>12</v>
      </c>
      <c r="J47" s="12">
        <v>24</v>
      </c>
      <c r="K47" s="12">
        <v>4</v>
      </c>
      <c r="L47" s="12">
        <v>3</v>
      </c>
      <c r="M47" s="12"/>
      <c r="N47" s="12">
        <v>1</v>
      </c>
      <c r="O47" s="12">
        <v>3</v>
      </c>
      <c r="P47" s="12">
        <f t="shared" si="3"/>
        <v>1</v>
      </c>
      <c r="Q47" s="12">
        <v>2</v>
      </c>
      <c r="R47" s="12">
        <v>2</v>
      </c>
      <c r="S47" s="12">
        <v>2</v>
      </c>
      <c r="T47" s="12">
        <v>90</v>
      </c>
      <c r="U47" s="15">
        <v>8.7877082999999995E-2</v>
      </c>
      <c r="V47" s="15">
        <v>1.9575E-3</v>
      </c>
      <c r="W47" s="22">
        <f t="shared" si="4"/>
        <v>1</v>
      </c>
      <c r="X47" s="12" t="s">
        <v>86</v>
      </c>
      <c r="Y47" s="12" t="s">
        <v>26</v>
      </c>
      <c r="Z47" s="12" t="s">
        <v>26</v>
      </c>
      <c r="AA47" s="12">
        <v>1</v>
      </c>
      <c r="AB47" s="17">
        <v>0.78</v>
      </c>
      <c r="AC47" s="26">
        <f t="shared" si="5"/>
        <v>0</v>
      </c>
      <c r="AD47">
        <v>90</v>
      </c>
      <c r="AE47">
        <v>1.974</v>
      </c>
      <c r="AF47">
        <v>2.4E-2</v>
      </c>
      <c r="AG47">
        <v>2</v>
      </c>
      <c r="AH47">
        <v>2</v>
      </c>
      <c r="AI47">
        <v>2</v>
      </c>
      <c r="AJ47">
        <f t="shared" si="6"/>
        <v>1</v>
      </c>
      <c r="AK47">
        <v>5</v>
      </c>
      <c r="AL47">
        <v>0.23</v>
      </c>
      <c r="AM47">
        <v>0.1</v>
      </c>
      <c r="AN47">
        <v>2</v>
      </c>
      <c r="AO47">
        <v>2</v>
      </c>
      <c r="AP47">
        <v>2</v>
      </c>
      <c r="AQ47">
        <f t="shared" si="7"/>
        <v>1</v>
      </c>
    </row>
    <row r="48" spans="1:43" ht="15.75" customHeight="1">
      <c r="A48" s="12" t="s">
        <v>23</v>
      </c>
      <c r="B48" s="13" t="s">
        <v>65</v>
      </c>
      <c r="C48" s="12">
        <v>10</v>
      </c>
      <c r="D48" s="12">
        <v>9</v>
      </c>
      <c r="E48" s="14">
        <f t="shared" si="8"/>
        <v>1</v>
      </c>
      <c r="F48" s="14">
        <f t="shared" si="8"/>
        <v>1</v>
      </c>
      <c r="G48" s="14">
        <f t="shared" si="1"/>
        <v>1</v>
      </c>
      <c r="H48" s="14" t="str">
        <f t="shared" si="2"/>
        <v>OK</v>
      </c>
      <c r="I48" s="12">
        <v>10</v>
      </c>
      <c r="J48" s="12">
        <v>9</v>
      </c>
      <c r="K48" s="12">
        <v>5</v>
      </c>
      <c r="L48" s="12">
        <v>3</v>
      </c>
      <c r="M48" s="12">
        <v>1</v>
      </c>
      <c r="N48" s="12">
        <v>1</v>
      </c>
      <c r="O48" s="12">
        <v>3</v>
      </c>
      <c r="P48" s="12">
        <f t="shared" si="3"/>
        <v>1</v>
      </c>
      <c r="Q48" s="12">
        <v>1</v>
      </c>
      <c r="R48" s="12">
        <v>1</v>
      </c>
      <c r="S48" s="12">
        <v>1</v>
      </c>
      <c r="T48" s="12">
        <v>1</v>
      </c>
      <c r="U48" s="15">
        <v>1.325833E-3</v>
      </c>
      <c r="V48" s="15">
        <v>1.5792000000000001E-5</v>
      </c>
      <c r="W48" s="22">
        <f t="shared" si="4"/>
        <v>0</v>
      </c>
      <c r="X48" s="12" t="s">
        <v>66</v>
      </c>
      <c r="Y48" s="12" t="s">
        <v>26</v>
      </c>
      <c r="Z48" s="12" t="s">
        <v>26</v>
      </c>
      <c r="AA48" s="12">
        <v>1</v>
      </c>
      <c r="AB48" s="17">
        <v>0.85</v>
      </c>
      <c r="AC48" s="26">
        <f t="shared" si="5"/>
        <v>0</v>
      </c>
      <c r="AD48">
        <v>90</v>
      </c>
      <c r="AE48">
        <v>1.3919999999999999</v>
      </c>
      <c r="AF48">
        <v>1.6E-2</v>
      </c>
      <c r="AG48">
        <v>1</v>
      </c>
      <c r="AH48">
        <v>1</v>
      </c>
      <c r="AI48">
        <v>1</v>
      </c>
      <c r="AJ48">
        <f t="shared" si="6"/>
        <v>0</v>
      </c>
      <c r="AK48">
        <v>5</v>
      </c>
      <c r="AL48">
        <v>0.37</v>
      </c>
      <c r="AM48">
        <v>7.0000000000000007E-2</v>
      </c>
      <c r="AN48">
        <v>1</v>
      </c>
      <c r="AO48">
        <v>1</v>
      </c>
      <c r="AP48">
        <v>1</v>
      </c>
      <c r="AQ48">
        <f t="shared" si="7"/>
        <v>0</v>
      </c>
    </row>
    <row r="49" spans="1:43" ht="15.75" customHeight="1">
      <c r="A49" s="12" t="s">
        <v>23</v>
      </c>
      <c r="B49" s="13" t="s">
        <v>51</v>
      </c>
      <c r="C49" s="12">
        <v>9</v>
      </c>
      <c r="D49" s="12">
        <v>8</v>
      </c>
      <c r="E49" s="14">
        <f t="shared" si="8"/>
        <v>1</v>
      </c>
      <c r="F49" s="14">
        <f t="shared" si="8"/>
        <v>1</v>
      </c>
      <c r="G49" s="14">
        <f t="shared" si="1"/>
        <v>1</v>
      </c>
      <c r="H49" s="14" t="str">
        <f t="shared" si="2"/>
        <v>OK</v>
      </c>
      <c r="I49" s="12">
        <v>9</v>
      </c>
      <c r="J49" s="12">
        <v>8</v>
      </c>
      <c r="K49" s="12">
        <v>6</v>
      </c>
      <c r="L49" s="12">
        <v>3</v>
      </c>
      <c r="M49" s="12">
        <v>1</v>
      </c>
      <c r="N49" s="12">
        <v>1</v>
      </c>
      <c r="O49" s="12">
        <v>2</v>
      </c>
      <c r="P49" s="12">
        <f t="shared" si="3"/>
        <v>1</v>
      </c>
      <c r="Q49" s="12">
        <v>1</v>
      </c>
      <c r="R49" s="12">
        <v>1</v>
      </c>
      <c r="S49" s="12">
        <v>1</v>
      </c>
      <c r="T49" s="12">
        <v>1</v>
      </c>
      <c r="U49" s="15">
        <v>1.0948749999999999E-3</v>
      </c>
      <c r="V49" s="15">
        <v>2.7291999999999999E-5</v>
      </c>
      <c r="W49" s="22">
        <f t="shared" si="4"/>
        <v>0</v>
      </c>
      <c r="X49" s="12" t="s">
        <v>52</v>
      </c>
      <c r="Y49" s="12" t="s">
        <v>26</v>
      </c>
      <c r="Z49" s="12" t="s">
        <v>26</v>
      </c>
      <c r="AA49" s="12">
        <v>1</v>
      </c>
      <c r="AB49" s="17">
        <v>0.8</v>
      </c>
      <c r="AC49" s="26">
        <f t="shared" si="5"/>
        <v>0</v>
      </c>
      <c r="AD49">
        <v>90</v>
      </c>
      <c r="AE49">
        <v>1.06</v>
      </c>
      <c r="AF49">
        <v>1.0999999999999999E-2</v>
      </c>
      <c r="AG49">
        <v>1</v>
      </c>
      <c r="AH49">
        <v>1</v>
      </c>
      <c r="AI49">
        <v>1</v>
      </c>
      <c r="AJ49">
        <f t="shared" si="6"/>
        <v>0</v>
      </c>
      <c r="AK49">
        <v>5</v>
      </c>
      <c r="AL49">
        <v>0.55000000000000004</v>
      </c>
      <c r="AM49">
        <v>0.11</v>
      </c>
      <c r="AN49">
        <v>1</v>
      </c>
      <c r="AO49">
        <v>1</v>
      </c>
      <c r="AP49">
        <v>1</v>
      </c>
      <c r="AQ49">
        <f t="shared" si="7"/>
        <v>0</v>
      </c>
    </row>
    <row r="50" spans="1:43" ht="15.75" customHeight="1">
      <c r="A50" s="12" t="s">
        <v>23</v>
      </c>
      <c r="B50" s="13" t="s">
        <v>87</v>
      </c>
      <c r="C50" s="12">
        <v>12</v>
      </c>
      <c r="D50" s="12">
        <v>11</v>
      </c>
      <c r="E50" s="14">
        <f t="shared" si="8"/>
        <v>1</v>
      </c>
      <c r="F50" s="14">
        <f t="shared" si="8"/>
        <v>1</v>
      </c>
      <c r="G50" s="14">
        <f t="shared" si="1"/>
        <v>1</v>
      </c>
      <c r="H50" s="14" t="str">
        <f t="shared" si="2"/>
        <v>OK</v>
      </c>
      <c r="I50" s="12">
        <v>12</v>
      </c>
      <c r="J50" s="12">
        <v>11</v>
      </c>
      <c r="K50" s="12">
        <v>6</v>
      </c>
      <c r="L50" s="12">
        <v>3</v>
      </c>
      <c r="M50" s="12">
        <v>1</v>
      </c>
      <c r="N50" s="12">
        <v>1</v>
      </c>
      <c r="O50" s="12">
        <v>3</v>
      </c>
      <c r="P50" s="12">
        <f t="shared" si="3"/>
        <v>1</v>
      </c>
      <c r="Q50" s="12">
        <v>1</v>
      </c>
      <c r="R50" s="12">
        <v>1</v>
      </c>
      <c r="S50" s="12">
        <v>1</v>
      </c>
      <c r="T50" s="12">
        <v>1</v>
      </c>
      <c r="U50" s="15">
        <v>1.461958E-3</v>
      </c>
      <c r="V50" s="15">
        <v>1.33375E-4</v>
      </c>
      <c r="W50" s="22">
        <f t="shared" si="4"/>
        <v>0</v>
      </c>
      <c r="X50" s="12" t="s">
        <v>88</v>
      </c>
      <c r="Y50" s="12" t="s">
        <v>26</v>
      </c>
      <c r="Z50" s="12" t="s">
        <v>26</v>
      </c>
      <c r="AA50" s="12">
        <v>1</v>
      </c>
      <c r="AB50" s="17">
        <v>0.83</v>
      </c>
      <c r="AC50" s="26">
        <f t="shared" si="5"/>
        <v>0</v>
      </c>
      <c r="AD50">
        <v>90</v>
      </c>
      <c r="AE50">
        <v>2.161</v>
      </c>
      <c r="AF50">
        <v>2.5000000000000001E-2</v>
      </c>
      <c r="AG50">
        <v>1</v>
      </c>
      <c r="AH50">
        <v>1</v>
      </c>
      <c r="AI50">
        <v>1</v>
      </c>
      <c r="AJ50">
        <f t="shared" si="6"/>
        <v>0</v>
      </c>
      <c r="AK50">
        <v>5</v>
      </c>
      <c r="AL50">
        <v>0.34</v>
      </c>
      <c r="AM50">
        <v>0.06</v>
      </c>
      <c r="AN50">
        <v>1</v>
      </c>
      <c r="AO50">
        <v>1</v>
      </c>
      <c r="AP50">
        <v>1</v>
      </c>
      <c r="AQ50">
        <f t="shared" si="7"/>
        <v>0</v>
      </c>
    </row>
    <row r="51" spans="1:43" ht="15.75" customHeight="1">
      <c r="A51" s="12" t="s">
        <v>23</v>
      </c>
      <c r="B51" s="13" t="s">
        <v>89</v>
      </c>
      <c r="C51" s="12">
        <v>12</v>
      </c>
      <c r="D51" s="12">
        <v>11</v>
      </c>
      <c r="E51" s="14">
        <f t="shared" si="8"/>
        <v>1</v>
      </c>
      <c r="F51" s="14">
        <f t="shared" si="8"/>
        <v>1</v>
      </c>
      <c r="G51" s="14">
        <f t="shared" si="1"/>
        <v>1</v>
      </c>
      <c r="H51" s="14" t="str">
        <f t="shared" si="2"/>
        <v>OK</v>
      </c>
      <c r="I51" s="12">
        <v>12</v>
      </c>
      <c r="J51" s="12">
        <v>11</v>
      </c>
      <c r="K51" s="12">
        <v>8</v>
      </c>
      <c r="L51" s="12">
        <v>3</v>
      </c>
      <c r="M51" s="12">
        <v>1</v>
      </c>
      <c r="N51" s="12">
        <v>1</v>
      </c>
      <c r="O51" s="12">
        <v>3</v>
      </c>
      <c r="P51" s="12">
        <f t="shared" si="3"/>
        <v>1</v>
      </c>
      <c r="Q51" s="12">
        <v>1</v>
      </c>
      <c r="R51" s="12">
        <v>1</v>
      </c>
      <c r="S51" s="12">
        <v>1</v>
      </c>
      <c r="T51" s="12">
        <v>1</v>
      </c>
      <c r="U51" s="15">
        <v>1.5024579999999999E-3</v>
      </c>
      <c r="V51" s="15">
        <v>5.8E-5</v>
      </c>
      <c r="W51" s="22">
        <f t="shared" si="4"/>
        <v>0</v>
      </c>
      <c r="X51" s="12" t="s">
        <v>90</v>
      </c>
      <c r="Y51" s="12" t="s">
        <v>26</v>
      </c>
      <c r="Z51" s="12" t="s">
        <v>26</v>
      </c>
      <c r="AA51" s="12">
        <v>1</v>
      </c>
      <c r="AB51" s="17">
        <v>0.86</v>
      </c>
      <c r="AC51" s="26">
        <f t="shared" si="5"/>
        <v>0</v>
      </c>
      <c r="AD51">
        <v>250</v>
      </c>
      <c r="AE51">
        <v>6.7629999999999999</v>
      </c>
      <c r="AF51">
        <v>0.02</v>
      </c>
      <c r="AG51">
        <v>1</v>
      </c>
      <c r="AH51">
        <v>1.03</v>
      </c>
      <c r="AI51">
        <v>2</v>
      </c>
      <c r="AJ51">
        <f t="shared" si="6"/>
        <v>0</v>
      </c>
      <c r="AK51">
        <v>5</v>
      </c>
      <c r="AL51">
        <v>0.31</v>
      </c>
      <c r="AM51">
        <v>7.0000000000000007E-2</v>
      </c>
      <c r="AN51">
        <v>1</v>
      </c>
      <c r="AO51">
        <v>1.2</v>
      </c>
      <c r="AP51">
        <v>2</v>
      </c>
      <c r="AQ51">
        <f t="shared" si="7"/>
        <v>0</v>
      </c>
    </row>
    <row r="52" spans="1:43" ht="15.75" customHeight="1">
      <c r="A52" s="12" t="s">
        <v>23</v>
      </c>
      <c r="B52" s="13" t="s">
        <v>106</v>
      </c>
      <c r="C52" s="12">
        <v>16</v>
      </c>
      <c r="D52" s="12">
        <v>15</v>
      </c>
      <c r="E52" s="14">
        <f t="shared" si="8"/>
        <v>2</v>
      </c>
      <c r="F52" s="14">
        <f t="shared" si="8"/>
        <v>2</v>
      </c>
      <c r="G52" s="14">
        <f t="shared" si="1"/>
        <v>2</v>
      </c>
      <c r="H52" s="14" t="str">
        <f t="shared" si="2"/>
        <v>OK</v>
      </c>
      <c r="I52" s="12">
        <v>16</v>
      </c>
      <c r="J52" s="12">
        <v>15</v>
      </c>
      <c r="K52" s="12">
        <v>8</v>
      </c>
      <c r="L52" s="12">
        <v>3</v>
      </c>
      <c r="M52" s="12">
        <v>2</v>
      </c>
      <c r="N52" s="12">
        <v>1</v>
      </c>
      <c r="O52" s="12">
        <v>3</v>
      </c>
      <c r="P52" s="12">
        <f t="shared" si="3"/>
        <v>2</v>
      </c>
      <c r="Q52" s="12">
        <v>2</v>
      </c>
      <c r="R52" s="12">
        <v>2</v>
      </c>
      <c r="S52" s="12">
        <v>2</v>
      </c>
      <c r="T52" s="12">
        <v>90</v>
      </c>
      <c r="U52" s="15">
        <v>8.8026708999999995E-2</v>
      </c>
      <c r="V52" s="15">
        <v>1.8730839999999999E-3</v>
      </c>
      <c r="W52" s="22">
        <f t="shared" si="4"/>
        <v>0</v>
      </c>
      <c r="X52" s="12"/>
      <c r="Y52" s="12" t="s">
        <v>26</v>
      </c>
      <c r="Z52" s="12" t="s">
        <v>26</v>
      </c>
      <c r="AA52" s="12">
        <v>2</v>
      </c>
      <c r="AB52" s="17">
        <v>0.81</v>
      </c>
      <c r="AC52" s="26">
        <f t="shared" si="5"/>
        <v>0</v>
      </c>
      <c r="AD52">
        <v>90</v>
      </c>
      <c r="AE52">
        <v>3.831</v>
      </c>
      <c r="AF52">
        <v>4.2999999999999997E-2</v>
      </c>
      <c r="AG52">
        <v>2</v>
      </c>
      <c r="AH52">
        <v>2</v>
      </c>
      <c r="AI52">
        <v>2</v>
      </c>
      <c r="AJ52">
        <f t="shared" si="6"/>
        <v>0</v>
      </c>
      <c r="AK52">
        <v>5</v>
      </c>
      <c r="AL52">
        <v>0.24</v>
      </c>
      <c r="AM52">
        <v>0.05</v>
      </c>
      <c r="AN52">
        <v>2</v>
      </c>
      <c r="AO52">
        <v>2</v>
      </c>
      <c r="AP52">
        <v>2</v>
      </c>
      <c r="AQ52">
        <f t="shared" si="7"/>
        <v>0</v>
      </c>
    </row>
    <row r="53" spans="1:43" ht="15.75" customHeight="1">
      <c r="A53" s="12" t="s">
        <v>23</v>
      </c>
      <c r="B53" s="13" t="s">
        <v>53</v>
      </c>
      <c r="C53" s="12">
        <v>9</v>
      </c>
      <c r="D53" s="12">
        <v>18</v>
      </c>
      <c r="E53" s="14">
        <f t="shared" si="8"/>
        <v>2</v>
      </c>
      <c r="F53" s="14">
        <f t="shared" si="8"/>
        <v>2</v>
      </c>
      <c r="G53" s="14">
        <f t="shared" si="1"/>
        <v>2</v>
      </c>
      <c r="H53" s="14" t="str">
        <f t="shared" si="2"/>
        <v>OK</v>
      </c>
      <c r="I53" s="12">
        <v>9</v>
      </c>
      <c r="J53" s="12">
        <v>18</v>
      </c>
      <c r="K53" s="12">
        <v>4</v>
      </c>
      <c r="L53" s="12">
        <v>2</v>
      </c>
      <c r="M53" s="12">
        <v>2</v>
      </c>
      <c r="N53" s="12">
        <v>1</v>
      </c>
      <c r="O53" s="12">
        <v>2</v>
      </c>
      <c r="P53" s="12">
        <f t="shared" si="3"/>
        <v>2</v>
      </c>
      <c r="Q53" s="12">
        <v>2</v>
      </c>
      <c r="R53" s="12">
        <v>2</v>
      </c>
      <c r="S53" s="12">
        <v>2</v>
      </c>
      <c r="T53" s="12">
        <v>90</v>
      </c>
      <c r="U53" s="15">
        <v>5.6273957999999999E-2</v>
      </c>
      <c r="V53" s="15">
        <v>6.3900000000000003E-4</v>
      </c>
      <c r="W53" s="22">
        <f t="shared" si="4"/>
        <v>0</v>
      </c>
      <c r="X53" s="12" t="s">
        <v>54</v>
      </c>
      <c r="Y53" s="12" t="s">
        <v>26</v>
      </c>
      <c r="Z53" s="12" t="s">
        <v>26</v>
      </c>
      <c r="AA53" s="12">
        <v>2</v>
      </c>
      <c r="AB53" s="17">
        <v>0.73</v>
      </c>
      <c r="AC53" s="26">
        <f t="shared" si="5"/>
        <v>0</v>
      </c>
      <c r="AD53">
        <v>90</v>
      </c>
      <c r="AE53">
        <v>0.92400000000000004</v>
      </c>
      <c r="AF53">
        <v>0.01</v>
      </c>
      <c r="AG53">
        <v>2</v>
      </c>
      <c r="AH53">
        <v>2</v>
      </c>
      <c r="AI53">
        <v>2</v>
      </c>
      <c r="AJ53">
        <f t="shared" si="6"/>
        <v>0</v>
      </c>
      <c r="AK53">
        <v>5</v>
      </c>
      <c r="AL53">
        <v>0.25</v>
      </c>
      <c r="AM53">
        <v>0.05</v>
      </c>
      <c r="AN53">
        <v>2</v>
      </c>
      <c r="AO53">
        <v>2</v>
      </c>
      <c r="AP53">
        <v>2</v>
      </c>
      <c r="AQ53">
        <f t="shared" si="7"/>
        <v>0</v>
      </c>
    </row>
    <row r="54" spans="1:43" ht="15.75" customHeight="1">
      <c r="A54" s="12" t="s">
        <v>23</v>
      </c>
      <c r="B54" s="13" t="s">
        <v>107</v>
      </c>
      <c r="C54" s="12">
        <v>16</v>
      </c>
      <c r="D54" s="12">
        <v>48</v>
      </c>
      <c r="E54" s="14">
        <f t="shared" si="8"/>
        <v>2</v>
      </c>
      <c r="F54" s="14">
        <f t="shared" si="8"/>
        <v>2</v>
      </c>
      <c r="G54" s="14">
        <f t="shared" si="1"/>
        <v>2</v>
      </c>
      <c r="H54" s="14" t="str">
        <f t="shared" si="2"/>
        <v>OK</v>
      </c>
      <c r="I54" s="12">
        <v>16</v>
      </c>
      <c r="J54" s="12">
        <v>48</v>
      </c>
      <c r="K54" s="12">
        <v>6</v>
      </c>
      <c r="L54" s="12">
        <v>2</v>
      </c>
      <c r="M54" s="12">
        <v>3</v>
      </c>
      <c r="N54" s="12">
        <v>2</v>
      </c>
      <c r="O54" s="12">
        <v>3</v>
      </c>
      <c r="P54" s="12">
        <f t="shared" si="3"/>
        <v>2</v>
      </c>
      <c r="Q54" s="12">
        <v>2</v>
      </c>
      <c r="R54" s="12">
        <v>2.4119999999999999</v>
      </c>
      <c r="S54" s="12">
        <v>3</v>
      </c>
      <c r="T54" s="12">
        <v>250</v>
      </c>
      <c r="U54" s="15">
        <v>0.45162466699999998</v>
      </c>
      <c r="V54" s="15">
        <v>1.483917E-3</v>
      </c>
      <c r="W54" s="22">
        <f t="shared" si="4"/>
        <v>0</v>
      </c>
      <c r="X54" s="12"/>
      <c r="Y54" s="12" t="s">
        <v>26</v>
      </c>
      <c r="Z54" s="12" t="s">
        <v>26</v>
      </c>
      <c r="AA54" s="12">
        <v>2</v>
      </c>
      <c r="AB54" s="17">
        <v>0.84</v>
      </c>
      <c r="AC54" s="26">
        <f t="shared" si="5"/>
        <v>0</v>
      </c>
      <c r="AD54">
        <v>90</v>
      </c>
      <c r="AE54">
        <v>3.2410000000000001</v>
      </c>
      <c r="AF54">
        <v>3.5000000000000003E-2</v>
      </c>
      <c r="AG54">
        <v>3</v>
      </c>
      <c r="AH54">
        <v>3</v>
      </c>
      <c r="AI54">
        <v>3</v>
      </c>
      <c r="AJ54">
        <f t="shared" si="6"/>
        <v>0.5</v>
      </c>
      <c r="AK54">
        <v>5</v>
      </c>
      <c r="AL54">
        <v>0.32</v>
      </c>
      <c r="AM54">
        <v>7.0000000000000007E-2</v>
      </c>
      <c r="AN54">
        <v>2</v>
      </c>
      <c r="AO54">
        <v>2</v>
      </c>
      <c r="AP54">
        <v>2</v>
      </c>
      <c r="AQ54">
        <f t="shared" si="7"/>
        <v>0</v>
      </c>
    </row>
    <row r="55" spans="1:43" ht="15.75" customHeight="1">
      <c r="A55" s="12" t="s">
        <v>23</v>
      </c>
      <c r="B55" s="13" t="s">
        <v>93</v>
      </c>
      <c r="C55" s="12">
        <v>12</v>
      </c>
      <c r="D55" s="12">
        <v>26</v>
      </c>
      <c r="E55" s="14">
        <f t="shared" si="8"/>
        <v>2</v>
      </c>
      <c r="F55" s="14">
        <f t="shared" si="8"/>
        <v>2</v>
      </c>
      <c r="G55" s="14">
        <f t="shared" si="1"/>
        <v>2</v>
      </c>
      <c r="H55" s="14" t="str">
        <f t="shared" si="2"/>
        <v>OK</v>
      </c>
      <c r="I55" s="12">
        <v>12</v>
      </c>
      <c r="J55" s="12">
        <v>26</v>
      </c>
      <c r="K55" s="12">
        <v>5</v>
      </c>
      <c r="L55" s="12">
        <v>3</v>
      </c>
      <c r="M55" s="12"/>
      <c r="N55" s="12">
        <v>1</v>
      </c>
      <c r="O55" s="12">
        <v>3</v>
      </c>
      <c r="P55" s="12">
        <f t="shared" si="3"/>
        <v>2</v>
      </c>
      <c r="Q55" s="12">
        <v>2</v>
      </c>
      <c r="R55" s="12">
        <v>2</v>
      </c>
      <c r="S55" s="12">
        <v>2</v>
      </c>
      <c r="T55" s="12">
        <v>90</v>
      </c>
      <c r="U55" s="15">
        <v>8.3978459000000005E-2</v>
      </c>
      <c r="V55" s="15">
        <v>9.4270900000000002E-4</v>
      </c>
      <c r="W55" s="22">
        <f t="shared" si="4"/>
        <v>0</v>
      </c>
      <c r="X55" s="12" t="s">
        <v>94</v>
      </c>
      <c r="Y55" s="12" t="s">
        <v>26</v>
      </c>
      <c r="Z55" s="12" t="s">
        <v>26</v>
      </c>
      <c r="AA55" s="12">
        <v>2</v>
      </c>
      <c r="AB55" s="17">
        <v>1.78</v>
      </c>
      <c r="AC55" s="26">
        <f t="shared" si="5"/>
        <v>0</v>
      </c>
      <c r="AD55">
        <v>90</v>
      </c>
      <c r="AE55">
        <v>1.8049999999999999</v>
      </c>
      <c r="AF55">
        <v>2.1000000000000001E-2</v>
      </c>
      <c r="AG55">
        <v>2</v>
      </c>
      <c r="AH55">
        <v>2</v>
      </c>
      <c r="AI55">
        <v>2</v>
      </c>
      <c r="AJ55">
        <f t="shared" si="6"/>
        <v>0</v>
      </c>
      <c r="AK55">
        <v>5</v>
      </c>
      <c r="AL55">
        <v>0.27</v>
      </c>
      <c r="AM55">
        <v>0.12</v>
      </c>
      <c r="AN55">
        <v>2</v>
      </c>
      <c r="AO55">
        <v>2</v>
      </c>
      <c r="AP55">
        <v>2</v>
      </c>
      <c r="AQ55">
        <f t="shared" si="7"/>
        <v>0</v>
      </c>
    </row>
    <row r="56" spans="1:43" ht="15.75" customHeight="1">
      <c r="A56" s="12" t="s">
        <v>23</v>
      </c>
      <c r="B56" s="13" t="s">
        <v>55</v>
      </c>
      <c r="C56" s="12">
        <v>9</v>
      </c>
      <c r="D56" s="12">
        <v>12</v>
      </c>
      <c r="E56" s="14">
        <f t="shared" si="8"/>
        <v>1</v>
      </c>
      <c r="F56" s="14">
        <f t="shared" si="8"/>
        <v>1</v>
      </c>
      <c r="G56" s="14">
        <f t="shared" si="1"/>
        <v>1</v>
      </c>
      <c r="H56" s="14" t="str">
        <f t="shared" si="2"/>
        <v>OK</v>
      </c>
      <c r="I56" s="12">
        <v>9</v>
      </c>
      <c r="J56" s="12">
        <v>12</v>
      </c>
      <c r="K56" s="12">
        <v>4</v>
      </c>
      <c r="L56" s="12">
        <v>4</v>
      </c>
      <c r="M56" s="12">
        <v>1</v>
      </c>
      <c r="N56" s="12">
        <v>1</v>
      </c>
      <c r="O56" s="12">
        <v>2</v>
      </c>
      <c r="P56" s="12">
        <f t="shared" si="3"/>
        <v>1</v>
      </c>
      <c r="Q56" s="12">
        <v>1</v>
      </c>
      <c r="R56" s="12">
        <v>1</v>
      </c>
      <c r="S56" s="12">
        <v>1</v>
      </c>
      <c r="T56" s="12">
        <v>1</v>
      </c>
      <c r="U56" s="15">
        <v>8.8808400000000003E-4</v>
      </c>
      <c r="V56" s="15">
        <v>9.3292000000000001E-5</v>
      </c>
      <c r="W56" s="22">
        <f t="shared" si="4"/>
        <v>0</v>
      </c>
      <c r="X56" s="12" t="s">
        <v>56</v>
      </c>
      <c r="Y56" s="12" t="s">
        <v>26</v>
      </c>
      <c r="Z56" s="12" t="s">
        <v>26</v>
      </c>
      <c r="AA56" s="12">
        <v>1</v>
      </c>
      <c r="AB56" s="17">
        <v>1.74</v>
      </c>
      <c r="AC56" s="26">
        <f t="shared" si="5"/>
        <v>0</v>
      </c>
      <c r="AD56">
        <v>250</v>
      </c>
      <c r="AE56">
        <v>3.0070000000000001</v>
      </c>
      <c r="AF56">
        <v>1.4E-2</v>
      </c>
      <c r="AG56">
        <v>1</v>
      </c>
      <c r="AH56">
        <v>1.73</v>
      </c>
      <c r="AI56">
        <v>2</v>
      </c>
      <c r="AJ56">
        <f t="shared" si="6"/>
        <v>0</v>
      </c>
      <c r="AK56">
        <v>5</v>
      </c>
      <c r="AL56">
        <v>0.46</v>
      </c>
      <c r="AM56">
        <v>0.09</v>
      </c>
      <c r="AN56">
        <v>1</v>
      </c>
      <c r="AO56">
        <v>1</v>
      </c>
      <c r="AP56">
        <v>1</v>
      </c>
      <c r="AQ56">
        <f t="shared" si="7"/>
        <v>0</v>
      </c>
    </row>
    <row r="57" spans="1:43" ht="15.75" customHeight="1">
      <c r="A57" s="12" t="s">
        <v>23</v>
      </c>
      <c r="B57" s="13" t="s">
        <v>95</v>
      </c>
      <c r="C57" s="12">
        <v>12</v>
      </c>
      <c r="D57" s="12">
        <v>21</v>
      </c>
      <c r="E57" s="14">
        <f t="shared" si="8"/>
        <v>2</v>
      </c>
      <c r="F57" s="14">
        <f t="shared" si="8"/>
        <v>2</v>
      </c>
      <c r="G57" s="14">
        <f t="shared" si="1"/>
        <v>2</v>
      </c>
      <c r="H57" s="14" t="str">
        <f t="shared" si="2"/>
        <v>OK</v>
      </c>
      <c r="I57" s="12">
        <v>12</v>
      </c>
      <c r="J57" s="12">
        <v>21</v>
      </c>
      <c r="K57" s="12">
        <v>4</v>
      </c>
      <c r="L57" s="12">
        <v>4</v>
      </c>
      <c r="M57" s="12">
        <v>1</v>
      </c>
      <c r="N57" s="12">
        <v>1</v>
      </c>
      <c r="O57" s="12">
        <v>3</v>
      </c>
      <c r="P57" s="12">
        <f t="shared" si="3"/>
        <v>2</v>
      </c>
      <c r="Q57" s="12">
        <v>2</v>
      </c>
      <c r="R57" s="12">
        <v>2</v>
      </c>
      <c r="S57" s="12">
        <v>2</v>
      </c>
      <c r="T57" s="12">
        <v>90</v>
      </c>
      <c r="U57" s="15">
        <v>7.2335125E-2</v>
      </c>
      <c r="V57" s="15">
        <v>7.4350000000000002E-4</v>
      </c>
      <c r="W57" s="22">
        <f t="shared" si="4"/>
        <v>0</v>
      </c>
      <c r="X57" s="12" t="s">
        <v>96</v>
      </c>
      <c r="Y57" s="12" t="s">
        <v>26</v>
      </c>
      <c r="Z57" s="12" t="s">
        <v>26</v>
      </c>
      <c r="AA57" s="12">
        <v>2</v>
      </c>
      <c r="AB57" s="17">
        <v>0.82</v>
      </c>
      <c r="AC57" s="26">
        <f t="shared" si="5"/>
        <v>0</v>
      </c>
      <c r="AD57">
        <v>90</v>
      </c>
      <c r="AE57">
        <v>1.788</v>
      </c>
      <c r="AF57">
        <v>2.1000000000000001E-2</v>
      </c>
      <c r="AG57">
        <v>2</v>
      </c>
      <c r="AH57">
        <v>2</v>
      </c>
      <c r="AI57">
        <v>2</v>
      </c>
      <c r="AJ57">
        <f t="shared" si="6"/>
        <v>0</v>
      </c>
      <c r="AK57">
        <v>5</v>
      </c>
      <c r="AL57">
        <v>0.24</v>
      </c>
      <c r="AM57">
        <v>0.05</v>
      </c>
      <c r="AN57">
        <v>2</v>
      </c>
      <c r="AO57">
        <v>2</v>
      </c>
      <c r="AP57">
        <v>2</v>
      </c>
      <c r="AQ57">
        <f t="shared" si="7"/>
        <v>0</v>
      </c>
    </row>
    <row r="58" spans="1:43" ht="15.75" customHeight="1">
      <c r="A58" s="12" t="s">
        <v>23</v>
      </c>
      <c r="B58" s="13" t="s">
        <v>109</v>
      </c>
      <c r="C58" s="12">
        <v>16</v>
      </c>
      <c r="D58" s="12">
        <v>28</v>
      </c>
      <c r="E58" s="14">
        <f t="shared" si="8"/>
        <v>2</v>
      </c>
      <c r="F58" s="14">
        <f t="shared" si="8"/>
        <v>2</v>
      </c>
      <c r="G58" s="14">
        <f t="shared" si="1"/>
        <v>2</v>
      </c>
      <c r="H58" s="14" t="str">
        <f t="shared" si="2"/>
        <v>OK</v>
      </c>
      <c r="I58" s="12">
        <v>16</v>
      </c>
      <c r="J58" s="12">
        <v>28</v>
      </c>
      <c r="K58" s="12">
        <v>4</v>
      </c>
      <c r="L58" s="12">
        <v>5</v>
      </c>
      <c r="M58" s="12">
        <v>1</v>
      </c>
      <c r="N58" s="12">
        <v>1</v>
      </c>
      <c r="O58" s="12">
        <v>3</v>
      </c>
      <c r="P58" s="12">
        <f t="shared" si="3"/>
        <v>2</v>
      </c>
      <c r="Q58" s="12">
        <v>2</v>
      </c>
      <c r="R58" s="12">
        <v>2.048</v>
      </c>
      <c r="S58" s="12">
        <v>3</v>
      </c>
      <c r="T58" s="12">
        <v>250</v>
      </c>
      <c r="U58" s="15">
        <v>0.27244079100000002</v>
      </c>
      <c r="V58" s="15">
        <v>9.5279100000000003E-4</v>
      </c>
      <c r="W58" s="22">
        <f t="shared" si="4"/>
        <v>0</v>
      </c>
      <c r="X58" s="12"/>
      <c r="Y58" s="12" t="s">
        <v>26</v>
      </c>
      <c r="Z58" s="12" t="s">
        <v>26</v>
      </c>
      <c r="AA58" s="12">
        <v>2</v>
      </c>
      <c r="AB58" s="17">
        <v>0.84</v>
      </c>
      <c r="AC58" s="26">
        <f t="shared" si="5"/>
        <v>0</v>
      </c>
      <c r="AD58">
        <v>250</v>
      </c>
      <c r="AE58">
        <v>9.5950000000000006</v>
      </c>
      <c r="AF58">
        <v>6.7000000000000004E-2</v>
      </c>
      <c r="AG58">
        <v>2</v>
      </c>
      <c r="AH58">
        <v>2.85</v>
      </c>
      <c r="AI58">
        <v>3</v>
      </c>
      <c r="AJ58">
        <f t="shared" si="6"/>
        <v>0</v>
      </c>
      <c r="AK58">
        <v>5</v>
      </c>
      <c r="AL58">
        <v>0.3</v>
      </c>
      <c r="AM58">
        <v>0.06</v>
      </c>
      <c r="AN58">
        <v>2</v>
      </c>
      <c r="AO58">
        <v>2</v>
      </c>
      <c r="AP58">
        <v>2</v>
      </c>
      <c r="AQ58">
        <f t="shared" si="7"/>
        <v>0</v>
      </c>
    </row>
    <row r="59" spans="1:43" ht="15.75" customHeight="1">
      <c r="A59" s="12" t="s">
        <v>23</v>
      </c>
      <c r="B59" s="13" t="s">
        <v>115</v>
      </c>
      <c r="C59" s="12">
        <v>20</v>
      </c>
      <c r="D59" s="12">
        <v>55</v>
      </c>
      <c r="E59" s="14">
        <f t="shared" si="8"/>
        <v>2</v>
      </c>
      <c r="F59" s="14">
        <f t="shared" si="8"/>
        <v>2</v>
      </c>
      <c r="G59" s="14">
        <f t="shared" si="1"/>
        <v>2</v>
      </c>
      <c r="H59" s="14" t="str">
        <f t="shared" si="2"/>
        <v>OK</v>
      </c>
      <c r="I59" s="12">
        <v>20</v>
      </c>
      <c r="J59" s="12">
        <v>55</v>
      </c>
      <c r="K59" s="12">
        <v>6</v>
      </c>
      <c r="L59" s="12">
        <v>4</v>
      </c>
      <c r="M59" s="12"/>
      <c r="N59" s="12">
        <v>1</v>
      </c>
      <c r="O59" s="12">
        <v>4</v>
      </c>
      <c r="P59" s="12">
        <f t="shared" si="3"/>
        <v>2</v>
      </c>
      <c r="Q59" s="12">
        <v>2</v>
      </c>
      <c r="R59" s="12">
        <v>2.4239999999999999</v>
      </c>
      <c r="S59" s="12">
        <v>3</v>
      </c>
      <c r="T59" s="12">
        <v>250</v>
      </c>
      <c r="U59" s="15">
        <v>0.495314959</v>
      </c>
      <c r="V59" s="15">
        <v>4.0387920000000002E-3</v>
      </c>
      <c r="W59" s="22">
        <f t="shared" si="4"/>
        <v>0</v>
      </c>
      <c r="X59" s="12"/>
      <c r="Y59" s="12" t="s">
        <v>26</v>
      </c>
      <c r="Z59" s="12" t="s">
        <v>26</v>
      </c>
      <c r="AA59" s="18">
        <v>2</v>
      </c>
      <c r="AB59" s="19">
        <v>1.26</v>
      </c>
      <c r="AC59" s="26">
        <f t="shared" si="5"/>
        <v>0</v>
      </c>
      <c r="AD59">
        <v>90</v>
      </c>
      <c r="AE59">
        <v>6.4219999999999997</v>
      </c>
      <c r="AF59">
        <v>6.9000000000000006E-2</v>
      </c>
      <c r="AG59">
        <v>3</v>
      </c>
      <c r="AH59">
        <v>3</v>
      </c>
      <c r="AI59">
        <v>3</v>
      </c>
      <c r="AJ59">
        <f t="shared" si="6"/>
        <v>0.5</v>
      </c>
      <c r="AK59">
        <v>5</v>
      </c>
      <c r="AL59">
        <v>0.35</v>
      </c>
      <c r="AM59">
        <v>0.35</v>
      </c>
      <c r="AN59">
        <v>3</v>
      </c>
      <c r="AO59">
        <v>3</v>
      </c>
      <c r="AP59">
        <v>3</v>
      </c>
      <c r="AQ59">
        <f t="shared" si="7"/>
        <v>0.5</v>
      </c>
    </row>
    <row r="60" spans="1:43" ht="15.75" customHeight="1">
      <c r="A60" s="12" t="s">
        <v>23</v>
      </c>
      <c r="B60" s="13" t="s">
        <v>110</v>
      </c>
      <c r="C60" s="12">
        <v>16</v>
      </c>
      <c r="D60" s="12">
        <v>24</v>
      </c>
      <c r="E60" s="14">
        <f t="shared" si="8"/>
        <v>1</v>
      </c>
      <c r="F60" s="14">
        <f t="shared" si="8"/>
        <v>1</v>
      </c>
      <c r="G60" s="14">
        <f t="shared" si="1"/>
        <v>1</v>
      </c>
      <c r="H60" s="14" t="str">
        <f t="shared" si="2"/>
        <v>OK</v>
      </c>
      <c r="I60" s="12">
        <v>16</v>
      </c>
      <c r="J60" s="12">
        <v>24</v>
      </c>
      <c r="K60" s="12">
        <v>4</v>
      </c>
      <c r="L60" s="12">
        <v>6</v>
      </c>
      <c r="M60" s="12">
        <v>1</v>
      </c>
      <c r="N60" s="12">
        <v>1</v>
      </c>
      <c r="O60" s="12">
        <v>3</v>
      </c>
      <c r="P60" s="12">
        <f t="shared" si="3"/>
        <v>1</v>
      </c>
      <c r="Q60" s="12">
        <v>1</v>
      </c>
      <c r="R60" s="12">
        <v>1.5</v>
      </c>
      <c r="S60" s="12">
        <v>2</v>
      </c>
      <c r="T60" s="12">
        <v>2</v>
      </c>
      <c r="U60" s="15">
        <v>1.7671659999999999E-3</v>
      </c>
      <c r="V60" s="15">
        <v>1.1318330000000001E-3</v>
      </c>
      <c r="W60" s="22">
        <f t="shared" si="4"/>
        <v>0</v>
      </c>
      <c r="X60" s="12"/>
      <c r="Y60" s="12" t="s">
        <v>26</v>
      </c>
      <c r="Z60" s="12" t="s">
        <v>26</v>
      </c>
      <c r="AA60" s="12">
        <v>1</v>
      </c>
      <c r="AB60" s="17">
        <v>0.85</v>
      </c>
      <c r="AC60" s="26">
        <f t="shared" si="5"/>
        <v>0</v>
      </c>
      <c r="AD60">
        <v>250</v>
      </c>
      <c r="AE60">
        <v>11.444000000000001</v>
      </c>
      <c r="AF60">
        <v>0.128</v>
      </c>
      <c r="AG60">
        <v>2</v>
      </c>
      <c r="AH60">
        <v>2.2400000000000002</v>
      </c>
      <c r="AI60">
        <v>3</v>
      </c>
      <c r="AJ60">
        <f t="shared" si="6"/>
        <v>1</v>
      </c>
      <c r="AK60">
        <v>5</v>
      </c>
      <c r="AL60">
        <v>0.28000000000000003</v>
      </c>
      <c r="AM60">
        <v>0.17</v>
      </c>
      <c r="AN60">
        <v>2</v>
      </c>
      <c r="AO60">
        <v>2</v>
      </c>
      <c r="AP60">
        <v>2</v>
      </c>
      <c r="AQ60">
        <f t="shared" si="7"/>
        <v>1</v>
      </c>
    </row>
    <row r="61" spans="1:43" ht="13">
      <c r="A61" s="12" t="s">
        <v>23</v>
      </c>
      <c r="B61" s="13" t="s">
        <v>116</v>
      </c>
      <c r="C61" s="12">
        <v>20</v>
      </c>
      <c r="D61" s="12">
        <v>36</v>
      </c>
      <c r="E61" s="14">
        <f t="shared" si="8"/>
        <v>2</v>
      </c>
      <c r="F61" s="14">
        <f t="shared" si="8"/>
        <v>2</v>
      </c>
      <c r="G61" s="14">
        <f t="shared" si="1"/>
        <v>2</v>
      </c>
      <c r="H61" s="14" t="str">
        <f t="shared" si="2"/>
        <v>OK</v>
      </c>
      <c r="I61" s="12">
        <v>20</v>
      </c>
      <c r="J61" s="12">
        <v>36</v>
      </c>
      <c r="K61" s="12">
        <v>4</v>
      </c>
      <c r="L61" s="12">
        <v>6</v>
      </c>
      <c r="M61" s="12">
        <v>1</v>
      </c>
      <c r="N61" s="12">
        <v>1</v>
      </c>
      <c r="O61" s="12">
        <v>4</v>
      </c>
      <c r="P61" s="12">
        <f t="shared" si="3"/>
        <v>2</v>
      </c>
      <c r="Q61" s="12">
        <v>2</v>
      </c>
      <c r="R61" s="12">
        <v>2</v>
      </c>
      <c r="S61" s="12">
        <v>2</v>
      </c>
      <c r="T61" s="12">
        <v>90</v>
      </c>
      <c r="U61" s="15">
        <v>0.16457691699999999</v>
      </c>
      <c r="V61" s="15">
        <v>7.1114999999999998E-3</v>
      </c>
      <c r="W61" s="22">
        <f t="shared" si="4"/>
        <v>0</v>
      </c>
      <c r="X61" s="12"/>
      <c r="Y61" s="12" t="s">
        <v>26</v>
      </c>
      <c r="Z61" s="12" t="s">
        <v>26</v>
      </c>
      <c r="AA61" s="12">
        <v>2</v>
      </c>
      <c r="AB61" s="17">
        <v>0.89</v>
      </c>
      <c r="AC61" s="26">
        <f t="shared" si="5"/>
        <v>0</v>
      </c>
      <c r="AD61">
        <v>90</v>
      </c>
      <c r="AE61">
        <v>6.3390000000000004</v>
      </c>
      <c r="AF61">
        <v>7.0000000000000007E-2</v>
      </c>
      <c r="AG61">
        <v>3</v>
      </c>
      <c r="AH61">
        <v>3</v>
      </c>
      <c r="AI61">
        <v>3</v>
      </c>
      <c r="AJ61">
        <f t="shared" si="6"/>
        <v>0.5</v>
      </c>
      <c r="AK61">
        <v>5</v>
      </c>
      <c r="AL61">
        <v>0.3</v>
      </c>
      <c r="AM61">
        <v>0.3</v>
      </c>
      <c r="AN61">
        <v>3</v>
      </c>
      <c r="AO61">
        <v>3</v>
      </c>
      <c r="AP61">
        <v>3</v>
      </c>
      <c r="AQ61">
        <f t="shared" si="7"/>
        <v>0.5</v>
      </c>
    </row>
    <row r="62" spans="1:43" ht="13">
      <c r="A62" s="12" t="s">
        <v>23</v>
      </c>
      <c r="B62" s="13" t="s">
        <v>122</v>
      </c>
      <c r="C62" s="12">
        <v>25</v>
      </c>
      <c r="D62" s="12">
        <v>45</v>
      </c>
      <c r="E62" s="14">
        <f t="shared" si="8"/>
        <v>2</v>
      </c>
      <c r="F62" s="14">
        <f t="shared" si="8"/>
        <v>2</v>
      </c>
      <c r="G62" s="14">
        <f t="shared" si="1"/>
        <v>2</v>
      </c>
      <c r="H62" s="14" t="str">
        <f t="shared" si="2"/>
        <v>OK</v>
      </c>
      <c r="I62" s="12">
        <v>25</v>
      </c>
      <c r="J62" s="12">
        <v>45</v>
      </c>
      <c r="K62" s="12">
        <v>4</v>
      </c>
      <c r="L62" s="12">
        <v>6</v>
      </c>
      <c r="M62" s="12">
        <v>1</v>
      </c>
      <c r="N62" s="12">
        <v>1</v>
      </c>
      <c r="O62" s="12">
        <v>4</v>
      </c>
      <c r="P62" s="12">
        <f t="shared" si="3"/>
        <v>2</v>
      </c>
      <c r="Q62" s="12">
        <v>2</v>
      </c>
      <c r="R62" s="12">
        <v>2.3759999999999999</v>
      </c>
      <c r="S62" s="12">
        <v>3</v>
      </c>
      <c r="T62" s="12">
        <v>250</v>
      </c>
      <c r="U62" s="15">
        <v>0.47840216699999999</v>
      </c>
      <c r="V62" s="15">
        <v>4.0269579999999998E-3</v>
      </c>
      <c r="W62" s="22">
        <f t="shared" si="4"/>
        <v>0</v>
      </c>
      <c r="X62" s="12"/>
      <c r="Y62" s="12" t="s">
        <v>26</v>
      </c>
      <c r="Z62" s="12" t="s">
        <v>26</v>
      </c>
      <c r="AA62" s="12">
        <v>2</v>
      </c>
      <c r="AB62" s="17">
        <v>0.85</v>
      </c>
      <c r="AC62" s="26">
        <f t="shared" si="5"/>
        <v>0</v>
      </c>
      <c r="AD62">
        <v>250</v>
      </c>
      <c r="AE62">
        <v>39.085999999999999</v>
      </c>
      <c r="AF62">
        <v>0.38900000000000001</v>
      </c>
      <c r="AG62">
        <v>3</v>
      </c>
      <c r="AH62">
        <v>3.41</v>
      </c>
      <c r="AI62">
        <v>4</v>
      </c>
      <c r="AJ62">
        <f t="shared" si="6"/>
        <v>0.5</v>
      </c>
      <c r="AK62">
        <v>5</v>
      </c>
      <c r="AL62">
        <v>0.32</v>
      </c>
      <c r="AM62">
        <v>0.32</v>
      </c>
      <c r="AN62">
        <v>3</v>
      </c>
      <c r="AO62">
        <v>3</v>
      </c>
      <c r="AP62">
        <v>3</v>
      </c>
      <c r="AQ62">
        <f t="shared" si="7"/>
        <v>0.5</v>
      </c>
    </row>
    <row r="63" spans="1:43" ht="13">
      <c r="A63" s="12" t="s">
        <v>23</v>
      </c>
      <c r="B63" s="13" t="s">
        <v>123</v>
      </c>
      <c r="C63" s="12">
        <v>25</v>
      </c>
      <c r="D63" s="12">
        <v>40</v>
      </c>
      <c r="E63" s="14">
        <f t="shared" si="8"/>
        <v>1</v>
      </c>
      <c r="F63" s="14">
        <f t="shared" si="8"/>
        <v>1</v>
      </c>
      <c r="G63" s="14">
        <f t="shared" si="1"/>
        <v>1</v>
      </c>
      <c r="H63" s="14" t="str">
        <f t="shared" si="2"/>
        <v>OK</v>
      </c>
      <c r="I63" s="12">
        <v>25</v>
      </c>
      <c r="J63" s="12">
        <v>40</v>
      </c>
      <c r="K63" s="12">
        <v>4</v>
      </c>
      <c r="L63" s="12">
        <v>8</v>
      </c>
      <c r="M63" s="12">
        <v>1</v>
      </c>
      <c r="N63" s="12">
        <v>1</v>
      </c>
      <c r="O63" s="12">
        <v>4</v>
      </c>
      <c r="P63" s="12">
        <f t="shared" si="3"/>
        <v>1</v>
      </c>
      <c r="Q63" s="12">
        <v>1</v>
      </c>
      <c r="R63" s="12">
        <v>1.6667000000000001</v>
      </c>
      <c r="S63" s="12">
        <v>2</v>
      </c>
      <c r="T63" s="12">
        <v>3</v>
      </c>
      <c r="U63" s="15">
        <v>4.9353749999999997E-3</v>
      </c>
      <c r="V63" s="15">
        <v>4.8932919999999996E-3</v>
      </c>
      <c r="W63" s="22">
        <f t="shared" si="4"/>
        <v>0</v>
      </c>
      <c r="X63" s="12"/>
      <c r="Y63" s="12" t="s">
        <v>26</v>
      </c>
      <c r="Z63" s="12" t="s">
        <v>26</v>
      </c>
      <c r="AA63" s="12">
        <v>1</v>
      </c>
      <c r="AB63" s="17">
        <v>0.85</v>
      </c>
      <c r="AC63" s="26">
        <f t="shared" si="5"/>
        <v>0</v>
      </c>
      <c r="AD63">
        <v>250</v>
      </c>
      <c r="AE63">
        <v>40.799999999999997</v>
      </c>
      <c r="AF63">
        <v>0.13200000000000001</v>
      </c>
      <c r="AG63">
        <v>3</v>
      </c>
      <c r="AH63">
        <v>3.06</v>
      </c>
      <c r="AI63">
        <v>4</v>
      </c>
      <c r="AJ63">
        <f t="shared" si="6"/>
        <v>2</v>
      </c>
      <c r="AK63">
        <v>5</v>
      </c>
      <c r="AL63">
        <v>0.28999999999999998</v>
      </c>
      <c r="AM63">
        <v>0.23</v>
      </c>
      <c r="AN63">
        <v>3</v>
      </c>
      <c r="AO63">
        <v>3</v>
      </c>
      <c r="AP63">
        <v>3</v>
      </c>
      <c r="AQ63">
        <f t="shared" si="7"/>
        <v>2</v>
      </c>
    </row>
    <row r="64" spans="1:43" ht="13">
      <c r="A64" s="12" t="s">
        <v>23</v>
      </c>
      <c r="B64" s="13" t="s">
        <v>125</v>
      </c>
      <c r="C64" s="12">
        <v>30</v>
      </c>
      <c r="D64" s="12">
        <v>55</v>
      </c>
      <c r="E64" s="14">
        <f t="shared" si="8"/>
        <v>2</v>
      </c>
      <c r="F64" s="14">
        <f t="shared" si="8"/>
        <v>2</v>
      </c>
      <c r="G64" s="14">
        <f t="shared" si="1"/>
        <v>2</v>
      </c>
      <c r="H64" s="14" t="str">
        <f t="shared" si="2"/>
        <v>OK</v>
      </c>
      <c r="I64" s="12">
        <v>30</v>
      </c>
      <c r="J64" s="12">
        <v>55</v>
      </c>
      <c r="K64" s="12">
        <v>4</v>
      </c>
      <c r="L64" s="12">
        <v>7</v>
      </c>
      <c r="M64" s="12">
        <v>1</v>
      </c>
      <c r="N64" s="12">
        <v>1</v>
      </c>
      <c r="O64" s="12">
        <v>5</v>
      </c>
      <c r="P64" s="12">
        <f t="shared" si="3"/>
        <v>2</v>
      </c>
      <c r="Q64" s="12">
        <v>2</v>
      </c>
      <c r="R64" s="12">
        <v>2.1800000000000002</v>
      </c>
      <c r="S64" s="12">
        <v>3</v>
      </c>
      <c r="T64" s="12">
        <v>250</v>
      </c>
      <c r="U64" s="15">
        <v>0.63888133400000002</v>
      </c>
      <c r="V64" s="15">
        <v>2.565959E-3</v>
      </c>
      <c r="W64" s="22">
        <f t="shared" si="4"/>
        <v>0</v>
      </c>
      <c r="X64" s="12"/>
      <c r="Y64" s="12" t="s">
        <v>26</v>
      </c>
      <c r="Z64" s="12" t="s">
        <v>26</v>
      </c>
      <c r="AA64" s="12">
        <v>2</v>
      </c>
      <c r="AB64" s="17">
        <v>0.91</v>
      </c>
      <c r="AC64" s="26">
        <f t="shared" si="5"/>
        <v>0</v>
      </c>
      <c r="AD64">
        <v>250</v>
      </c>
      <c r="AE64">
        <v>57.661000000000001</v>
      </c>
      <c r="AF64">
        <v>16.646000000000001</v>
      </c>
      <c r="AG64">
        <v>3</v>
      </c>
      <c r="AH64">
        <v>3.99</v>
      </c>
      <c r="AI64">
        <v>4</v>
      </c>
      <c r="AJ64">
        <f t="shared" si="6"/>
        <v>0.5</v>
      </c>
      <c r="AK64">
        <v>5</v>
      </c>
      <c r="AL64">
        <v>0.28000000000000003</v>
      </c>
      <c r="AM64">
        <v>0.17</v>
      </c>
      <c r="AN64">
        <v>4</v>
      </c>
      <c r="AO64">
        <v>4</v>
      </c>
      <c r="AP64">
        <v>4</v>
      </c>
      <c r="AQ64">
        <f t="shared" si="7"/>
        <v>1</v>
      </c>
    </row>
    <row r="65" spans="1:43" ht="13">
      <c r="A65" s="12" t="s">
        <v>23</v>
      </c>
      <c r="B65" s="13" t="s">
        <v>126</v>
      </c>
      <c r="C65" s="12">
        <v>36</v>
      </c>
      <c r="D65" s="12">
        <v>60</v>
      </c>
      <c r="E65" s="14">
        <f t="shared" si="8"/>
        <v>1</v>
      </c>
      <c r="F65" s="14">
        <f t="shared" si="8"/>
        <v>1</v>
      </c>
      <c r="G65" s="14">
        <f t="shared" si="1"/>
        <v>1</v>
      </c>
      <c r="H65" s="14" t="str">
        <f t="shared" si="2"/>
        <v>OK</v>
      </c>
      <c r="I65" s="12">
        <v>36</v>
      </c>
      <c r="J65" s="12">
        <v>60</v>
      </c>
      <c r="K65" s="12">
        <v>4</v>
      </c>
      <c r="L65" s="12">
        <v>10</v>
      </c>
      <c r="M65" s="12">
        <v>1</v>
      </c>
      <c r="N65" s="12">
        <v>1</v>
      </c>
      <c r="O65" s="12">
        <v>5</v>
      </c>
      <c r="P65" s="12">
        <f t="shared" si="3"/>
        <v>1</v>
      </c>
      <c r="Q65" s="12">
        <v>1</v>
      </c>
      <c r="R65" s="12">
        <v>1.6667000000000001</v>
      </c>
      <c r="S65" s="12">
        <v>2</v>
      </c>
      <c r="T65" s="12">
        <v>3</v>
      </c>
      <c r="U65" s="15">
        <v>8.7799999999999996E-3</v>
      </c>
      <c r="V65" s="15">
        <v>8.7192499999999996E-3</v>
      </c>
      <c r="W65" s="22">
        <f t="shared" si="4"/>
        <v>0</v>
      </c>
      <c r="X65" s="12"/>
      <c r="Y65" s="12" t="s">
        <v>26</v>
      </c>
      <c r="Z65" s="12" t="s">
        <v>26</v>
      </c>
      <c r="AA65" s="12">
        <v>1</v>
      </c>
      <c r="AB65" s="17">
        <v>0.84</v>
      </c>
      <c r="AC65" s="26">
        <f t="shared" si="5"/>
        <v>0</v>
      </c>
      <c r="AD65">
        <v>250</v>
      </c>
      <c r="AE65">
        <v>116.16500000000001</v>
      </c>
      <c r="AF65">
        <v>0.497</v>
      </c>
      <c r="AG65">
        <v>4</v>
      </c>
      <c r="AH65">
        <v>4.05</v>
      </c>
      <c r="AI65">
        <v>5</v>
      </c>
      <c r="AJ65">
        <f t="shared" si="6"/>
        <v>3</v>
      </c>
      <c r="AK65">
        <v>5</v>
      </c>
      <c r="AL65">
        <v>0.3</v>
      </c>
      <c r="AM65">
        <v>0.18</v>
      </c>
      <c r="AN65">
        <v>4</v>
      </c>
      <c r="AO65">
        <v>4</v>
      </c>
      <c r="AP65">
        <v>4</v>
      </c>
      <c r="AQ65">
        <f t="shared" si="7"/>
        <v>3</v>
      </c>
    </row>
    <row r="66" spans="1:43" ht="13">
      <c r="A66" s="12" t="s">
        <v>23</v>
      </c>
      <c r="B66" s="13" t="s">
        <v>57</v>
      </c>
      <c r="C66" s="12">
        <v>9</v>
      </c>
      <c r="D66" s="12">
        <v>12</v>
      </c>
      <c r="E66" s="14">
        <f t="shared" si="8"/>
        <v>1</v>
      </c>
      <c r="F66" s="14">
        <f t="shared" si="8"/>
        <v>1</v>
      </c>
      <c r="G66" s="14">
        <f t="shared" si="1"/>
        <v>1</v>
      </c>
      <c r="H66" s="14" t="str">
        <f t="shared" si="2"/>
        <v>OK</v>
      </c>
      <c r="I66" s="12">
        <v>9</v>
      </c>
      <c r="J66" s="12">
        <v>12</v>
      </c>
      <c r="K66" s="12">
        <v>4</v>
      </c>
      <c r="L66" s="12">
        <v>4</v>
      </c>
      <c r="M66" s="12">
        <v>1</v>
      </c>
      <c r="N66" s="12">
        <v>1</v>
      </c>
      <c r="O66" s="12">
        <v>2</v>
      </c>
      <c r="P66" s="12">
        <f t="shared" si="3"/>
        <v>1</v>
      </c>
      <c r="Q66" s="12">
        <v>1</v>
      </c>
      <c r="R66" s="12">
        <v>1</v>
      </c>
      <c r="S66" s="12">
        <v>1</v>
      </c>
      <c r="T66" s="12">
        <v>1</v>
      </c>
      <c r="U66" s="15">
        <v>7.4350000000000002E-4</v>
      </c>
      <c r="V66" s="15">
        <v>9.0000000000000006E-5</v>
      </c>
      <c r="W66" s="22">
        <f t="shared" si="4"/>
        <v>0</v>
      </c>
      <c r="X66" s="12" t="s">
        <v>58</v>
      </c>
      <c r="Y66" s="12" t="s">
        <v>26</v>
      </c>
      <c r="Z66" s="12" t="s">
        <v>26</v>
      </c>
      <c r="AA66" s="12">
        <v>1</v>
      </c>
      <c r="AB66" s="17">
        <v>0.79</v>
      </c>
      <c r="AC66" s="26">
        <f t="shared" si="5"/>
        <v>0</v>
      </c>
      <c r="AD66">
        <v>250</v>
      </c>
      <c r="AE66">
        <v>3.0419999999999998</v>
      </c>
      <c r="AF66">
        <v>4.8000000000000001E-2</v>
      </c>
      <c r="AG66">
        <v>1</v>
      </c>
      <c r="AH66">
        <v>1.76</v>
      </c>
      <c r="AI66">
        <v>2</v>
      </c>
      <c r="AJ66">
        <f t="shared" si="6"/>
        <v>0</v>
      </c>
      <c r="AK66">
        <v>5</v>
      </c>
      <c r="AL66">
        <v>0.55000000000000004</v>
      </c>
      <c r="AM66">
        <v>0.12</v>
      </c>
      <c r="AN66">
        <v>1</v>
      </c>
      <c r="AO66">
        <v>1</v>
      </c>
      <c r="AP66">
        <v>1</v>
      </c>
      <c r="AQ66">
        <f t="shared" si="7"/>
        <v>0</v>
      </c>
    </row>
    <row r="67" spans="1:43" ht="13">
      <c r="A67" s="12" t="s">
        <v>23</v>
      </c>
      <c r="B67" s="13" t="s">
        <v>111</v>
      </c>
      <c r="C67" s="12">
        <v>16</v>
      </c>
      <c r="D67" s="12">
        <v>24</v>
      </c>
      <c r="E67" s="14">
        <f t="shared" ref="E67:F72" si="9">P67</f>
        <v>2</v>
      </c>
      <c r="F67" s="14">
        <f t="shared" si="9"/>
        <v>2</v>
      </c>
      <c r="G67" s="14">
        <f t="shared" ref="G67:G72" si="10">AA67</f>
        <v>2</v>
      </c>
      <c r="H67" s="14" t="str">
        <f t="shared" ref="H67:H72" si="11">IF(OR(E67=G67,F67=G67),"OK","CHECK")</f>
        <v>OK</v>
      </c>
      <c r="I67" s="12">
        <v>16</v>
      </c>
      <c r="J67" s="12">
        <v>24</v>
      </c>
      <c r="K67" s="12">
        <v>6</v>
      </c>
      <c r="L67" s="12">
        <v>4</v>
      </c>
      <c r="M67" s="12">
        <v>2</v>
      </c>
      <c r="N67" s="12">
        <v>1</v>
      </c>
      <c r="O67" s="12">
        <v>3</v>
      </c>
      <c r="P67" s="12">
        <f t="shared" si="3"/>
        <v>2</v>
      </c>
      <c r="Q67" s="12">
        <v>2</v>
      </c>
      <c r="R67" s="12">
        <v>2</v>
      </c>
      <c r="S67" s="12">
        <v>2</v>
      </c>
      <c r="T67" s="12">
        <v>90</v>
      </c>
      <c r="U67" s="15">
        <v>7.3972334000000001E-2</v>
      </c>
      <c r="V67" s="15">
        <v>8.7041699999999996E-4</v>
      </c>
      <c r="W67" s="22">
        <f t="shared" si="4"/>
        <v>0</v>
      </c>
      <c r="X67" s="12"/>
      <c r="Y67" s="12" t="s">
        <v>26</v>
      </c>
      <c r="Z67" s="12" t="s">
        <v>26</v>
      </c>
      <c r="AA67" s="12">
        <v>2</v>
      </c>
      <c r="AB67" s="17">
        <v>0.84</v>
      </c>
      <c r="AC67" s="26">
        <f t="shared" si="5"/>
        <v>0</v>
      </c>
      <c r="AD67">
        <v>250</v>
      </c>
      <c r="AE67">
        <v>11.558999999999999</v>
      </c>
      <c r="AF67">
        <v>3.9E-2</v>
      </c>
      <c r="AG67">
        <v>2</v>
      </c>
      <c r="AH67">
        <v>2.1</v>
      </c>
      <c r="AI67">
        <v>3</v>
      </c>
      <c r="AJ67">
        <f t="shared" si="6"/>
        <v>0</v>
      </c>
      <c r="AK67">
        <v>5</v>
      </c>
      <c r="AL67">
        <v>0.25</v>
      </c>
      <c r="AM67">
        <v>0.2</v>
      </c>
      <c r="AN67">
        <v>2</v>
      </c>
      <c r="AO67">
        <v>2</v>
      </c>
      <c r="AP67">
        <v>2</v>
      </c>
      <c r="AQ67">
        <f t="shared" si="7"/>
        <v>0</v>
      </c>
    </row>
    <row r="68" spans="1:43" ht="13">
      <c r="A68" s="12" t="s">
        <v>23</v>
      </c>
      <c r="B68" s="13" t="s">
        <v>124</v>
      </c>
      <c r="C68" s="12">
        <v>25</v>
      </c>
      <c r="D68" s="12">
        <v>40</v>
      </c>
      <c r="E68" s="14">
        <f t="shared" si="9"/>
        <v>2</v>
      </c>
      <c r="F68" s="14">
        <f t="shared" si="9"/>
        <v>2</v>
      </c>
      <c r="G68" s="14">
        <f t="shared" si="10"/>
        <v>2</v>
      </c>
      <c r="H68" s="14" t="str">
        <f t="shared" si="11"/>
        <v>OK</v>
      </c>
      <c r="I68" s="12">
        <v>25</v>
      </c>
      <c r="J68" s="12">
        <v>40</v>
      </c>
      <c r="K68" s="12">
        <v>8</v>
      </c>
      <c r="L68" s="12">
        <v>4</v>
      </c>
      <c r="M68" s="12">
        <v>2</v>
      </c>
      <c r="N68" s="12">
        <v>1</v>
      </c>
      <c r="O68" s="12">
        <v>4</v>
      </c>
      <c r="P68" s="12">
        <f t="shared" ref="P68:P72" si="12">MIN(F68:G68,AG68)</f>
        <v>2</v>
      </c>
      <c r="Q68" s="12">
        <v>2</v>
      </c>
      <c r="R68" s="12">
        <v>2.1040000000000001</v>
      </c>
      <c r="S68" s="12">
        <v>3</v>
      </c>
      <c r="T68" s="12">
        <v>250</v>
      </c>
      <c r="U68" s="15">
        <v>0.44636079200000001</v>
      </c>
      <c r="V68" s="15">
        <v>2.290959E-3</v>
      </c>
      <c r="W68" s="22">
        <f t="shared" ref="W68:W72" si="13">(Q68-P68)/P68</f>
        <v>0</v>
      </c>
      <c r="X68" s="12"/>
      <c r="Y68" s="12" t="s">
        <v>26</v>
      </c>
      <c r="Z68" s="12" t="s">
        <v>26</v>
      </c>
      <c r="AA68" s="12">
        <v>2</v>
      </c>
      <c r="AB68" s="17">
        <v>0.93</v>
      </c>
      <c r="AC68" s="26">
        <f t="shared" ref="AC68:AC72" si="14">(AA68-P68)/P68</f>
        <v>0</v>
      </c>
      <c r="AD68">
        <v>90</v>
      </c>
      <c r="AE68">
        <v>12.426</v>
      </c>
      <c r="AF68">
        <v>0.13</v>
      </c>
      <c r="AG68">
        <v>3</v>
      </c>
      <c r="AH68">
        <v>3</v>
      </c>
      <c r="AI68">
        <v>3</v>
      </c>
      <c r="AJ68">
        <f t="shared" ref="AJ68:AJ72" si="15">(AG68-P68)/P68</f>
        <v>0.5</v>
      </c>
      <c r="AK68">
        <v>5</v>
      </c>
      <c r="AL68">
        <v>0.28000000000000003</v>
      </c>
      <c r="AM68">
        <v>0.06</v>
      </c>
      <c r="AN68">
        <v>3</v>
      </c>
      <c r="AO68">
        <v>3</v>
      </c>
      <c r="AP68">
        <v>3</v>
      </c>
      <c r="AQ68">
        <f t="shared" ref="AQ68:AQ72" si="16">(AN68-P68)/P68</f>
        <v>0.5</v>
      </c>
    </row>
    <row r="69" spans="1:43" ht="13">
      <c r="A69" s="12" t="s">
        <v>23</v>
      </c>
      <c r="B69" s="13" t="s">
        <v>42</v>
      </c>
      <c r="C69" s="12">
        <v>7</v>
      </c>
      <c r="D69" s="12">
        <v>6</v>
      </c>
      <c r="E69" s="14">
        <f t="shared" si="9"/>
        <v>1</v>
      </c>
      <c r="F69" s="14">
        <f t="shared" si="9"/>
        <v>1</v>
      </c>
      <c r="G69" s="14">
        <f t="shared" si="10"/>
        <v>1</v>
      </c>
      <c r="H69" s="14" t="str">
        <f t="shared" si="11"/>
        <v>OK</v>
      </c>
      <c r="I69" s="12">
        <v>7</v>
      </c>
      <c r="J69" s="12">
        <v>6</v>
      </c>
      <c r="K69" s="12">
        <v>3</v>
      </c>
      <c r="L69" s="12">
        <v>4</v>
      </c>
      <c r="M69" s="12"/>
      <c r="N69" s="12">
        <v>1</v>
      </c>
      <c r="O69" s="12">
        <v>2</v>
      </c>
      <c r="P69" s="12">
        <f t="shared" si="12"/>
        <v>1</v>
      </c>
      <c r="Q69" s="12">
        <v>1</v>
      </c>
      <c r="R69" s="12">
        <v>1</v>
      </c>
      <c r="S69" s="12">
        <v>1</v>
      </c>
      <c r="T69" s="12">
        <v>1</v>
      </c>
      <c r="U69" s="15">
        <v>5.1383400000000001E-4</v>
      </c>
      <c r="V69" s="15">
        <v>1.2500000000000001E-5</v>
      </c>
      <c r="W69" s="22">
        <f t="shared" si="13"/>
        <v>0</v>
      </c>
      <c r="X69" s="12" t="s">
        <v>43</v>
      </c>
      <c r="Y69" s="12" t="s">
        <v>26</v>
      </c>
      <c r="Z69" s="12" t="s">
        <v>26</v>
      </c>
      <c r="AA69" s="12">
        <v>1</v>
      </c>
      <c r="AB69" s="17">
        <v>1.68</v>
      </c>
      <c r="AC69" s="26">
        <f t="shared" si="14"/>
        <v>0</v>
      </c>
      <c r="AD69">
        <v>90</v>
      </c>
      <c r="AE69">
        <v>0.67900000000000005</v>
      </c>
      <c r="AF69">
        <v>7.0000000000000001E-3</v>
      </c>
      <c r="AG69">
        <v>1</v>
      </c>
      <c r="AH69">
        <v>1</v>
      </c>
      <c r="AI69">
        <v>1</v>
      </c>
      <c r="AJ69">
        <f t="shared" si="15"/>
        <v>0</v>
      </c>
      <c r="AK69">
        <v>5</v>
      </c>
      <c r="AL69">
        <v>0.51</v>
      </c>
      <c r="AM69">
        <v>0.11</v>
      </c>
      <c r="AN69">
        <v>1</v>
      </c>
      <c r="AO69">
        <v>1</v>
      </c>
      <c r="AP69">
        <v>1</v>
      </c>
      <c r="AQ69">
        <f t="shared" si="16"/>
        <v>0</v>
      </c>
    </row>
    <row r="70" spans="1:43" ht="13">
      <c r="A70" s="12" t="s">
        <v>23</v>
      </c>
      <c r="B70" s="13" t="s">
        <v>97</v>
      </c>
      <c r="C70" s="12">
        <v>13</v>
      </c>
      <c r="D70" s="12">
        <v>12</v>
      </c>
      <c r="E70" s="14">
        <f t="shared" si="9"/>
        <v>1</v>
      </c>
      <c r="F70" s="14">
        <f t="shared" si="9"/>
        <v>1</v>
      </c>
      <c r="G70" s="14">
        <f t="shared" si="10"/>
        <v>1</v>
      </c>
      <c r="H70" s="14" t="str">
        <f t="shared" si="11"/>
        <v>OK</v>
      </c>
      <c r="I70" s="12">
        <v>13</v>
      </c>
      <c r="J70" s="12">
        <v>12</v>
      </c>
      <c r="K70" s="12">
        <v>4</v>
      </c>
      <c r="L70" s="12">
        <v>4</v>
      </c>
      <c r="M70" s="12"/>
      <c r="N70" s="12">
        <v>1</v>
      </c>
      <c r="O70" s="12">
        <v>3</v>
      </c>
      <c r="P70" s="12">
        <f t="shared" si="12"/>
        <v>1</v>
      </c>
      <c r="Q70" s="12">
        <v>1</v>
      </c>
      <c r="R70" s="12">
        <v>1</v>
      </c>
      <c r="S70" s="12">
        <v>1</v>
      </c>
      <c r="T70" s="12">
        <v>1</v>
      </c>
      <c r="U70" s="15">
        <v>1.1925830000000001E-3</v>
      </c>
      <c r="V70" s="15">
        <v>4.3166E-5</v>
      </c>
      <c r="W70" s="22">
        <f t="shared" si="13"/>
        <v>0</v>
      </c>
      <c r="X70" s="12" t="s">
        <v>98</v>
      </c>
      <c r="Y70" s="12" t="s">
        <v>26</v>
      </c>
      <c r="Z70" s="12" t="s">
        <v>26</v>
      </c>
      <c r="AA70" s="12">
        <v>1</v>
      </c>
      <c r="AB70" s="17">
        <v>0.85</v>
      </c>
      <c r="AC70" s="26">
        <f t="shared" si="14"/>
        <v>0</v>
      </c>
      <c r="AD70">
        <v>250</v>
      </c>
      <c r="AE70">
        <v>5.702</v>
      </c>
      <c r="AF70">
        <v>0.22</v>
      </c>
      <c r="AG70">
        <v>1</v>
      </c>
      <c r="AH70">
        <v>1.89</v>
      </c>
      <c r="AI70">
        <v>2</v>
      </c>
      <c r="AJ70">
        <f t="shared" si="15"/>
        <v>0</v>
      </c>
      <c r="AK70">
        <v>5</v>
      </c>
      <c r="AL70">
        <v>0.26</v>
      </c>
      <c r="AM70">
        <v>0.05</v>
      </c>
      <c r="AN70">
        <v>1</v>
      </c>
      <c r="AO70">
        <v>1.2</v>
      </c>
      <c r="AP70">
        <v>1</v>
      </c>
      <c r="AQ70">
        <f t="shared" si="16"/>
        <v>0</v>
      </c>
    </row>
    <row r="71" spans="1:43" ht="13">
      <c r="A71" s="12" t="s">
        <v>23</v>
      </c>
      <c r="B71" s="13" t="s">
        <v>120</v>
      </c>
      <c r="C71" s="12">
        <v>21</v>
      </c>
      <c r="D71" s="12">
        <v>20</v>
      </c>
      <c r="E71" s="14">
        <f t="shared" si="9"/>
        <v>1</v>
      </c>
      <c r="F71" s="14">
        <f t="shared" si="9"/>
        <v>1</v>
      </c>
      <c r="G71" s="14">
        <f t="shared" si="10"/>
        <v>1</v>
      </c>
      <c r="H71" s="14" t="str">
        <f t="shared" si="11"/>
        <v>OK</v>
      </c>
      <c r="I71" s="12">
        <v>21</v>
      </c>
      <c r="J71" s="12">
        <v>20</v>
      </c>
      <c r="K71" s="12">
        <v>5</v>
      </c>
      <c r="L71" s="12">
        <v>4</v>
      </c>
      <c r="M71" s="12"/>
      <c r="N71" s="12">
        <v>1</v>
      </c>
      <c r="O71" s="12">
        <v>4</v>
      </c>
      <c r="P71" s="12">
        <f t="shared" si="12"/>
        <v>1</v>
      </c>
      <c r="Q71" s="12">
        <v>1</v>
      </c>
      <c r="R71" s="12">
        <v>1</v>
      </c>
      <c r="S71" s="12">
        <v>1</v>
      </c>
      <c r="T71" s="12">
        <v>1</v>
      </c>
      <c r="U71" s="15">
        <v>2.2344159999999999E-3</v>
      </c>
      <c r="V71" s="15">
        <v>1.1208749999999999E-3</v>
      </c>
      <c r="W71" s="22">
        <f t="shared" si="13"/>
        <v>0</v>
      </c>
      <c r="X71" s="12"/>
      <c r="Y71" s="12" t="s">
        <v>26</v>
      </c>
      <c r="Z71" s="12" t="s">
        <v>26</v>
      </c>
      <c r="AA71" s="12">
        <v>1</v>
      </c>
      <c r="AB71" s="17">
        <v>2.65</v>
      </c>
      <c r="AC71" s="26">
        <f t="shared" si="14"/>
        <v>0</v>
      </c>
      <c r="AD71">
        <v>90</v>
      </c>
      <c r="AE71">
        <v>8.2390000000000008</v>
      </c>
      <c r="AF71">
        <v>9.2999999999999999E-2</v>
      </c>
      <c r="AG71">
        <v>2</v>
      </c>
      <c r="AH71">
        <v>2</v>
      </c>
      <c r="AI71">
        <v>2</v>
      </c>
      <c r="AJ71">
        <f t="shared" si="15"/>
        <v>1</v>
      </c>
      <c r="AK71">
        <v>5</v>
      </c>
      <c r="AL71">
        <v>0.23</v>
      </c>
      <c r="AM71">
        <v>0.23</v>
      </c>
      <c r="AN71">
        <v>2</v>
      </c>
      <c r="AO71">
        <v>2</v>
      </c>
      <c r="AP71">
        <v>2</v>
      </c>
      <c r="AQ71">
        <f t="shared" si="16"/>
        <v>1</v>
      </c>
    </row>
    <row r="72" spans="1:43" ht="13">
      <c r="A72" s="12" t="s">
        <v>23</v>
      </c>
      <c r="B72" s="13" t="s">
        <v>103</v>
      </c>
      <c r="C72" s="12">
        <v>15</v>
      </c>
      <c r="D72" s="12">
        <v>14</v>
      </c>
      <c r="E72" s="14">
        <f t="shared" si="9"/>
        <v>1</v>
      </c>
      <c r="F72" s="14">
        <f t="shared" si="9"/>
        <v>1</v>
      </c>
      <c r="G72" s="14">
        <f t="shared" si="10"/>
        <v>1</v>
      </c>
      <c r="H72" s="14" t="str">
        <f t="shared" si="11"/>
        <v>OK</v>
      </c>
      <c r="I72" s="12">
        <v>15</v>
      </c>
      <c r="J72" s="12">
        <v>14</v>
      </c>
      <c r="K72" s="12">
        <v>3</v>
      </c>
      <c r="L72" s="12">
        <v>6</v>
      </c>
      <c r="M72" s="12"/>
      <c r="N72" s="12">
        <v>1</v>
      </c>
      <c r="O72" s="12">
        <v>3</v>
      </c>
      <c r="P72" s="12">
        <f t="shared" si="12"/>
        <v>1</v>
      </c>
      <c r="Q72" s="12">
        <v>1</v>
      </c>
      <c r="R72" s="12">
        <v>1</v>
      </c>
      <c r="S72" s="12">
        <v>1</v>
      </c>
      <c r="T72" s="12">
        <v>1</v>
      </c>
      <c r="U72" s="15">
        <v>1.265333E-3</v>
      </c>
      <c r="V72" s="15">
        <v>6.29833E-4</v>
      </c>
      <c r="W72" s="22" t="s">
        <v>277</v>
      </c>
      <c r="X72" s="12"/>
      <c r="Y72" s="12" t="s">
        <v>26</v>
      </c>
      <c r="Z72" s="12" t="s">
        <v>26</v>
      </c>
      <c r="AA72" s="12">
        <v>1</v>
      </c>
      <c r="AB72" s="17">
        <v>1.88</v>
      </c>
      <c r="AC72" s="26">
        <f t="shared" si="14"/>
        <v>0</v>
      </c>
      <c r="AD72">
        <v>250</v>
      </c>
      <c r="AE72">
        <v>7.9640000000000004</v>
      </c>
      <c r="AF72">
        <v>1.0860000000000001</v>
      </c>
      <c r="AG72">
        <v>1</v>
      </c>
      <c r="AH72">
        <v>1.97</v>
      </c>
      <c r="AI72">
        <v>2</v>
      </c>
      <c r="AJ72">
        <f t="shared" si="15"/>
        <v>0</v>
      </c>
      <c r="AK72">
        <v>5</v>
      </c>
      <c r="AL72">
        <v>0.24</v>
      </c>
      <c r="AM72">
        <v>0.05</v>
      </c>
      <c r="AN72">
        <v>2</v>
      </c>
      <c r="AO72">
        <v>2</v>
      </c>
      <c r="AP72">
        <v>2</v>
      </c>
      <c r="AQ72">
        <f t="shared" si="16"/>
        <v>1</v>
      </c>
    </row>
    <row r="73" spans="1:43" ht="13">
      <c r="P73">
        <f>AVERAGE(P3:P72)</f>
        <v>1.6428571428571428</v>
      </c>
      <c r="Q73">
        <f>AVERAGE(Q3:Q72)</f>
        <v>1.6857142857142857</v>
      </c>
      <c r="R73">
        <f t="shared" ref="R73:W73" si="17">AVERAGE(R3:R72)</f>
        <v>1.764864285714286</v>
      </c>
      <c r="S73">
        <f t="shared" si="17"/>
        <v>1.8857142857142857</v>
      </c>
      <c r="T73">
        <f t="shared" si="17"/>
        <v>82.414285714285711</v>
      </c>
      <c r="U73">
        <f t="shared" si="17"/>
        <v>0.24118319648571429</v>
      </c>
      <c r="V73">
        <f t="shared" si="17"/>
        <v>2.1466750614285709E-2</v>
      </c>
      <c r="W73" s="23">
        <f t="shared" si="17"/>
        <v>4.3478260869565216E-2</v>
      </c>
      <c r="AA73" s="24">
        <f>AVERAGE(AA3:AA72)</f>
        <v>1.6428571428571428</v>
      </c>
      <c r="AB73" s="24">
        <f t="shared" ref="AB73:AC73" si="18">AVERAGE(AB3:AB72)</f>
        <v>1.1680000000000001</v>
      </c>
      <c r="AC73" s="23">
        <f t="shared" si="18"/>
        <v>0</v>
      </c>
      <c r="AD73" s="30">
        <v>140.28571428571428</v>
      </c>
      <c r="AE73" s="30">
        <v>8.2535142857142887</v>
      </c>
      <c r="AF73" s="30">
        <v>0.34765714285714283</v>
      </c>
      <c r="AG73" s="30">
        <v>2.0142857142857142</v>
      </c>
      <c r="AH73" s="30">
        <v>2.1761428571428567</v>
      </c>
      <c r="AI73" s="30">
        <v>2.3285714285714287</v>
      </c>
      <c r="AJ73" s="30">
        <f t="shared" ref="AJ73" si="19">AVERAGE(AJ3:AJ72)</f>
        <v>0.29285714285714287</v>
      </c>
      <c r="AK73" s="30">
        <f t="shared" ref="AK73" si="20">AVERAGE(AK3:AK72)</f>
        <v>5</v>
      </c>
      <c r="AL73" s="30">
        <f t="shared" ref="AL73" si="21">AVERAGE(AL3:AL72)</f>
        <v>0.30585714285714294</v>
      </c>
      <c r="AM73" s="30">
        <f t="shared" ref="AM73" si="22">AVERAGE(AM3:AM72)</f>
        <v>0.10185714285714284</v>
      </c>
      <c r="AN73" s="30">
        <f t="shared" ref="AN73" si="23">AVERAGE(AN3:AN72)</f>
        <v>2</v>
      </c>
      <c r="AO73" s="30">
        <f t="shared" ref="AO73" si="24">AVERAGE(AO3:AO72)</f>
        <v>2.0114285714285716</v>
      </c>
      <c r="AP73" s="30">
        <f t="shared" ref="AP73" si="25">AVERAGE(AP3:AP72)</f>
        <v>2.0285714285714285</v>
      </c>
      <c r="AQ73" s="30">
        <f t="shared" ref="AQ73" si="26">AVERAGE(AQ3:AQ72)</f>
        <v>0.27857142857142858</v>
      </c>
    </row>
    <row r="74" spans="1:43" ht="13">
      <c r="U74" s="20"/>
      <c r="V74" s="20"/>
      <c r="W74" s="36">
        <f>COUNTIF(W3:W72,0)</f>
        <v>66</v>
      </c>
      <c r="AB74" s="21"/>
      <c r="AC74" s="36">
        <f>COUNTIF(AC3:AC72,0)</f>
        <v>70</v>
      </c>
      <c r="AJ74" s="36">
        <f>COUNTIF(AJ3:AJ72,0)</f>
        <v>47</v>
      </c>
      <c r="AQ74" s="36">
        <f>COUNTIF(AQ3:AQ72,0)</f>
        <v>49</v>
      </c>
    </row>
    <row r="75" spans="1:43" ht="14" thickBot="1">
      <c r="U75" s="20"/>
      <c r="V75" s="20"/>
      <c r="AB75" s="21"/>
    </row>
    <row r="76" spans="1:43" ht="14" thickBot="1">
      <c r="P76" s="50"/>
      <c r="Q76" s="46" t="s">
        <v>18</v>
      </c>
      <c r="R76" s="47" t="s">
        <v>169</v>
      </c>
      <c r="S76" s="47" t="s">
        <v>170</v>
      </c>
      <c r="T76" s="47" t="s">
        <v>177</v>
      </c>
      <c r="U76" s="48" t="s">
        <v>272</v>
      </c>
      <c r="V76" s="48" t="s">
        <v>180</v>
      </c>
      <c r="W76" s="47" t="s">
        <v>176</v>
      </c>
      <c r="X76" s="49" t="s">
        <v>17</v>
      </c>
      <c r="AB76" s="21"/>
    </row>
    <row r="77" spans="1:43" ht="13">
      <c r="P77" s="51" t="s">
        <v>3</v>
      </c>
      <c r="Q77" s="37">
        <f>AA73</f>
        <v>1.6428571428571428</v>
      </c>
      <c r="R77" s="37" t="s">
        <v>195</v>
      </c>
      <c r="S77" s="37" t="s">
        <v>195</v>
      </c>
      <c r="T77" s="37" t="s">
        <v>195</v>
      </c>
      <c r="U77" s="39" t="s">
        <v>195</v>
      </c>
      <c r="V77" s="39">
        <f>AB73</f>
        <v>1.1680000000000001</v>
      </c>
      <c r="W77" s="38">
        <f>AC73</f>
        <v>0</v>
      </c>
      <c r="X77" s="40">
        <f>AC74</f>
        <v>70</v>
      </c>
      <c r="AB77" s="21"/>
    </row>
    <row r="78" spans="1:43" ht="13">
      <c r="P78" s="51" t="s">
        <v>254</v>
      </c>
      <c r="Q78" s="37">
        <f>Q73</f>
        <v>1.6857142857142857</v>
      </c>
      <c r="R78" s="37">
        <f>R73</f>
        <v>1.764864285714286</v>
      </c>
      <c r="S78" s="37">
        <f>S73</f>
        <v>1.8857142857142857</v>
      </c>
      <c r="T78" s="37">
        <f>T73</f>
        <v>82.414285714285711</v>
      </c>
      <c r="U78" s="39">
        <f>V73</f>
        <v>2.1466750614285709E-2</v>
      </c>
      <c r="V78" s="39">
        <f>U73</f>
        <v>0.24118319648571429</v>
      </c>
      <c r="W78" s="38">
        <f>W73</f>
        <v>4.3478260869565216E-2</v>
      </c>
      <c r="X78" s="40">
        <f>W74</f>
        <v>66</v>
      </c>
      <c r="AB78" s="21"/>
    </row>
    <row r="79" spans="1:43" ht="13">
      <c r="P79" s="51" t="s">
        <v>178</v>
      </c>
      <c r="Q79" s="37">
        <f>AG73</f>
        <v>2.0142857142857142</v>
      </c>
      <c r="R79" s="37">
        <f>AH73</f>
        <v>2.1761428571428567</v>
      </c>
      <c r="S79" s="37">
        <f>AI73</f>
        <v>2.3285714285714287</v>
      </c>
      <c r="T79" s="37">
        <f>AD73</f>
        <v>140.28571428571428</v>
      </c>
      <c r="U79" s="39">
        <f>AF73</f>
        <v>0.34765714285714283</v>
      </c>
      <c r="V79" s="39">
        <f>AE73</f>
        <v>8.2535142857142887</v>
      </c>
      <c r="W79" s="41">
        <f>AJ73</f>
        <v>0.29285714285714287</v>
      </c>
      <c r="X79" s="40">
        <f>AJ74</f>
        <v>47</v>
      </c>
      <c r="AB79" s="21"/>
    </row>
    <row r="80" spans="1:43" ht="14" thickBot="1">
      <c r="P80" s="52" t="s">
        <v>271</v>
      </c>
      <c r="Q80" s="42">
        <f>AN73</f>
        <v>2</v>
      </c>
      <c r="R80" s="42">
        <f>AO73</f>
        <v>2.0114285714285716</v>
      </c>
      <c r="S80" s="42">
        <f>AP73</f>
        <v>2.0285714285714285</v>
      </c>
      <c r="T80" s="42">
        <f>AK73</f>
        <v>5</v>
      </c>
      <c r="U80" s="43">
        <f>AM73</f>
        <v>0.10185714285714284</v>
      </c>
      <c r="V80" s="43">
        <f>AL73</f>
        <v>0.30585714285714294</v>
      </c>
      <c r="W80" s="44">
        <f>AQ73</f>
        <v>0.27857142857142858</v>
      </c>
      <c r="X80" s="45">
        <f>AQ74</f>
        <v>49</v>
      </c>
      <c r="AB80" s="21"/>
    </row>
    <row r="81" spans="21:28" ht="13">
      <c r="U81" s="20"/>
      <c r="V81" s="20"/>
      <c r="AB81" s="21"/>
    </row>
    <row r="82" spans="21:28" ht="13">
      <c r="U82" s="20"/>
      <c r="V82" s="20"/>
      <c r="AB82" s="21"/>
    </row>
    <row r="83" spans="21:28" ht="13">
      <c r="U83" s="20"/>
      <c r="V83" s="20"/>
      <c r="AB83" s="21"/>
    </row>
    <row r="84" spans="21:28" ht="13">
      <c r="U84" s="20"/>
      <c r="V84" s="20"/>
      <c r="AB84" s="21"/>
    </row>
    <row r="85" spans="21:28" ht="13">
      <c r="U85" s="20"/>
      <c r="V85" s="20"/>
      <c r="AB85" s="21"/>
    </row>
    <row r="86" spans="21:28" ht="13">
      <c r="U86" s="20"/>
      <c r="V86" s="20"/>
      <c r="AB86" s="21"/>
    </row>
    <row r="87" spans="21:28" ht="13">
      <c r="U87" s="20"/>
      <c r="V87" s="20"/>
      <c r="AB87" s="21"/>
    </row>
    <row r="88" spans="21:28" ht="13">
      <c r="U88" s="20"/>
      <c r="V88" s="20"/>
      <c r="AB88" s="21"/>
    </row>
    <row r="89" spans="21:28" ht="13">
      <c r="U89" s="20"/>
      <c r="V89" s="20"/>
      <c r="AB89" s="21"/>
    </row>
    <row r="90" spans="21:28" ht="13">
      <c r="U90" s="20"/>
      <c r="V90" s="20"/>
      <c r="AB90" s="21"/>
    </row>
    <row r="91" spans="21:28" ht="13">
      <c r="U91" s="20"/>
      <c r="V91" s="20"/>
      <c r="AB91" s="21"/>
    </row>
    <row r="92" spans="21:28" ht="13">
      <c r="U92" s="20"/>
      <c r="V92" s="20"/>
      <c r="AB92" s="21"/>
    </row>
    <row r="93" spans="21:28" ht="13">
      <c r="U93" s="20"/>
      <c r="V93" s="20"/>
      <c r="AB93" s="21"/>
    </row>
    <row r="94" spans="21:28" ht="13">
      <c r="U94" s="20"/>
      <c r="V94" s="20"/>
      <c r="AB94" s="21"/>
    </row>
    <row r="95" spans="21:28" ht="13">
      <c r="U95" s="20"/>
      <c r="V95" s="20"/>
      <c r="AB95" s="21"/>
    </row>
    <row r="96" spans="21:28" ht="13">
      <c r="U96" s="20"/>
      <c r="V96" s="20"/>
      <c r="AB96" s="21"/>
    </row>
    <row r="97" spans="21:28" ht="13">
      <c r="U97" s="20"/>
      <c r="V97" s="20"/>
      <c r="AB97" s="21"/>
    </row>
    <row r="98" spans="21:28" ht="13">
      <c r="U98" s="20"/>
      <c r="V98" s="20"/>
      <c r="AB98" s="21"/>
    </row>
    <row r="99" spans="21:28" ht="13">
      <c r="U99" s="20"/>
      <c r="V99" s="20"/>
      <c r="AB99" s="21"/>
    </row>
    <row r="100" spans="21:28" ht="13">
      <c r="U100" s="20"/>
      <c r="V100" s="20"/>
      <c r="AB100" s="21"/>
    </row>
    <row r="101" spans="21:28" ht="13">
      <c r="U101" s="20"/>
      <c r="V101" s="20"/>
      <c r="AB101" s="21"/>
    </row>
    <row r="102" spans="21:28" ht="13">
      <c r="U102" s="20"/>
      <c r="V102" s="20"/>
      <c r="AB102" s="21"/>
    </row>
    <row r="103" spans="21:28" ht="13">
      <c r="U103" s="20"/>
      <c r="V103" s="20"/>
      <c r="AB103" s="21"/>
    </row>
    <row r="104" spans="21:28" ht="13">
      <c r="U104" s="20"/>
      <c r="V104" s="20"/>
      <c r="AB104" s="21"/>
    </row>
    <row r="105" spans="21:28" ht="13">
      <c r="U105" s="20"/>
      <c r="V105" s="20"/>
      <c r="AB105" s="21"/>
    </row>
    <row r="106" spans="21:28" ht="13">
      <c r="U106" s="20"/>
      <c r="V106" s="20"/>
      <c r="AB106" s="21"/>
    </row>
    <row r="107" spans="21:28" ht="13">
      <c r="U107" s="20"/>
      <c r="V107" s="20"/>
      <c r="AB107" s="21"/>
    </row>
    <row r="108" spans="21:28" ht="13">
      <c r="U108" s="20"/>
      <c r="V108" s="20"/>
      <c r="AB108" s="21"/>
    </row>
    <row r="109" spans="21:28" ht="13">
      <c r="U109" s="20"/>
      <c r="V109" s="20"/>
      <c r="AB109" s="21"/>
    </row>
    <row r="110" spans="21:28" ht="13">
      <c r="U110" s="20"/>
      <c r="V110" s="20"/>
      <c r="AB110" s="21"/>
    </row>
    <row r="111" spans="21:28" ht="13">
      <c r="U111" s="20"/>
      <c r="V111" s="20"/>
      <c r="AB111" s="21"/>
    </row>
    <row r="112" spans="21:28" ht="13">
      <c r="U112" s="20"/>
      <c r="V112" s="20"/>
      <c r="AB112" s="21"/>
    </row>
    <row r="113" spans="21:28" ht="13">
      <c r="U113" s="20"/>
      <c r="V113" s="20"/>
      <c r="AB113" s="21"/>
    </row>
    <row r="114" spans="21:28" ht="13">
      <c r="U114" s="20"/>
      <c r="V114" s="20"/>
      <c r="AB114" s="21"/>
    </row>
    <row r="115" spans="21:28" ht="13">
      <c r="U115" s="20"/>
      <c r="V115" s="20"/>
      <c r="AB115" s="21"/>
    </row>
    <row r="116" spans="21:28" ht="13">
      <c r="U116" s="20"/>
      <c r="V116" s="20"/>
      <c r="AB116" s="21"/>
    </row>
    <row r="117" spans="21:28" ht="13">
      <c r="U117" s="20"/>
      <c r="V117" s="20"/>
      <c r="AB117" s="21"/>
    </row>
    <row r="118" spans="21:28" ht="13">
      <c r="U118" s="20"/>
      <c r="V118" s="20"/>
      <c r="AB118" s="21"/>
    </row>
    <row r="119" spans="21:28" ht="13">
      <c r="U119" s="20"/>
      <c r="V119" s="20"/>
      <c r="AB119" s="21"/>
    </row>
    <row r="120" spans="21:28" ht="13">
      <c r="U120" s="20"/>
      <c r="V120" s="20"/>
      <c r="AB120" s="21"/>
    </row>
    <row r="121" spans="21:28" ht="13">
      <c r="U121" s="20"/>
      <c r="V121" s="20"/>
      <c r="AB121" s="21"/>
    </row>
    <row r="122" spans="21:28" ht="13">
      <c r="U122" s="20"/>
      <c r="V122" s="20"/>
      <c r="AB122" s="21"/>
    </row>
    <row r="123" spans="21:28" ht="13">
      <c r="U123" s="20"/>
      <c r="V123" s="20"/>
      <c r="AB123" s="21"/>
    </row>
    <row r="124" spans="21:28" ht="13">
      <c r="U124" s="20"/>
      <c r="V124" s="20"/>
      <c r="AB124" s="21"/>
    </row>
    <row r="125" spans="21:28" ht="13">
      <c r="U125" s="20"/>
      <c r="V125" s="20"/>
      <c r="AB125" s="21"/>
    </row>
    <row r="126" spans="21:28" ht="13">
      <c r="U126" s="20"/>
      <c r="V126" s="20"/>
      <c r="AB126" s="21"/>
    </row>
    <row r="127" spans="21:28" ht="13">
      <c r="U127" s="20"/>
      <c r="V127" s="20"/>
      <c r="AB127" s="21"/>
    </row>
    <row r="128" spans="21:28" ht="13">
      <c r="U128" s="20"/>
      <c r="V128" s="20"/>
      <c r="AB128" s="21"/>
    </row>
    <row r="129" spans="21:28" ht="13">
      <c r="U129" s="20"/>
      <c r="V129" s="20"/>
      <c r="AB129" s="21"/>
    </row>
    <row r="130" spans="21:28" ht="13">
      <c r="U130" s="20"/>
      <c r="V130" s="20"/>
      <c r="AB130" s="21"/>
    </row>
    <row r="131" spans="21:28" ht="13">
      <c r="U131" s="20"/>
      <c r="V131" s="20"/>
      <c r="AB131" s="21"/>
    </row>
    <row r="132" spans="21:28" ht="13">
      <c r="U132" s="20"/>
      <c r="V132" s="20"/>
      <c r="AB132" s="21"/>
    </row>
    <row r="133" spans="21:28" ht="13">
      <c r="U133" s="20"/>
      <c r="V133" s="20"/>
      <c r="AB133" s="21"/>
    </row>
    <row r="134" spans="21:28" ht="13">
      <c r="U134" s="20"/>
      <c r="V134" s="20"/>
      <c r="AB134" s="21"/>
    </row>
    <row r="135" spans="21:28" ht="13">
      <c r="U135" s="20"/>
      <c r="V135" s="20"/>
      <c r="AB135" s="21"/>
    </row>
    <row r="136" spans="21:28" ht="13">
      <c r="U136" s="20"/>
      <c r="V136" s="20"/>
      <c r="AB136" s="21"/>
    </row>
    <row r="137" spans="21:28" ht="13">
      <c r="U137" s="20"/>
      <c r="V137" s="20"/>
      <c r="AB137" s="21"/>
    </row>
    <row r="138" spans="21:28" ht="13">
      <c r="U138" s="20"/>
      <c r="V138" s="20"/>
      <c r="AB138" s="21"/>
    </row>
    <row r="139" spans="21:28" ht="13">
      <c r="U139" s="20"/>
      <c r="V139" s="20"/>
      <c r="AB139" s="21"/>
    </row>
    <row r="140" spans="21:28" ht="13">
      <c r="U140" s="20"/>
      <c r="V140" s="20"/>
      <c r="AB140" s="21"/>
    </row>
    <row r="141" spans="21:28" ht="13">
      <c r="U141" s="20"/>
      <c r="V141" s="20"/>
      <c r="AB141" s="21"/>
    </row>
    <row r="142" spans="21:28" ht="13">
      <c r="U142" s="20"/>
      <c r="V142" s="20"/>
      <c r="AB142" s="21"/>
    </row>
    <row r="143" spans="21:28" ht="13">
      <c r="U143" s="20"/>
      <c r="V143" s="20"/>
      <c r="AB143" s="21"/>
    </row>
    <row r="144" spans="21:28" ht="13">
      <c r="U144" s="20"/>
      <c r="V144" s="20"/>
      <c r="AB144" s="21"/>
    </row>
    <row r="145" spans="21:28" ht="13">
      <c r="U145" s="20"/>
      <c r="V145" s="20"/>
      <c r="AB145" s="21"/>
    </row>
    <row r="146" spans="21:28" ht="13">
      <c r="U146" s="20"/>
      <c r="V146" s="20"/>
      <c r="AB146" s="21"/>
    </row>
    <row r="147" spans="21:28" ht="13">
      <c r="U147" s="20"/>
      <c r="V147" s="20"/>
      <c r="AB147" s="21"/>
    </row>
    <row r="148" spans="21:28" ht="13">
      <c r="U148" s="20"/>
      <c r="V148" s="20"/>
      <c r="AB148" s="21"/>
    </row>
    <row r="149" spans="21:28" ht="13">
      <c r="U149" s="20"/>
      <c r="V149" s="20"/>
      <c r="AB149" s="21"/>
    </row>
    <row r="150" spans="21:28" ht="13">
      <c r="U150" s="20"/>
      <c r="V150" s="20"/>
      <c r="AB150" s="21"/>
    </row>
    <row r="151" spans="21:28" ht="13">
      <c r="U151" s="20"/>
      <c r="V151" s="20"/>
      <c r="AB151" s="21"/>
    </row>
    <row r="152" spans="21:28" ht="13">
      <c r="U152" s="20"/>
      <c r="V152" s="20"/>
      <c r="AB152" s="21"/>
    </row>
    <row r="153" spans="21:28" ht="13">
      <c r="U153" s="20"/>
      <c r="V153" s="20"/>
      <c r="AB153" s="21"/>
    </row>
    <row r="154" spans="21:28" ht="13">
      <c r="U154" s="20"/>
      <c r="V154" s="20"/>
      <c r="AB154" s="21"/>
    </row>
    <row r="155" spans="21:28" ht="13">
      <c r="U155" s="20"/>
      <c r="V155" s="20"/>
      <c r="AB155" s="21"/>
    </row>
    <row r="156" spans="21:28" ht="13">
      <c r="U156" s="20"/>
      <c r="V156" s="20"/>
      <c r="AB156" s="21"/>
    </row>
    <row r="157" spans="21:28" ht="13">
      <c r="U157" s="20"/>
      <c r="V157" s="20"/>
      <c r="AB157" s="21"/>
    </row>
    <row r="158" spans="21:28" ht="13">
      <c r="U158" s="20"/>
      <c r="V158" s="20"/>
      <c r="AB158" s="21"/>
    </row>
    <row r="159" spans="21:28" ht="13">
      <c r="U159" s="20"/>
      <c r="V159" s="20"/>
      <c r="AB159" s="21"/>
    </row>
    <row r="160" spans="21:28" ht="13">
      <c r="U160" s="20"/>
      <c r="V160" s="20"/>
      <c r="AB160" s="21"/>
    </row>
    <row r="161" spans="21:28" ht="13">
      <c r="U161" s="20"/>
      <c r="V161" s="20"/>
      <c r="AB161" s="21"/>
    </row>
    <row r="162" spans="21:28" ht="13">
      <c r="U162" s="20"/>
      <c r="V162" s="20"/>
      <c r="AB162" s="21"/>
    </row>
    <row r="163" spans="21:28" ht="13">
      <c r="U163" s="20"/>
      <c r="V163" s="20"/>
      <c r="AB163" s="21"/>
    </row>
    <row r="164" spans="21:28" ht="13">
      <c r="U164" s="20"/>
      <c r="V164" s="20"/>
      <c r="AB164" s="21"/>
    </row>
    <row r="165" spans="21:28" ht="13">
      <c r="U165" s="20"/>
      <c r="V165" s="20"/>
      <c r="AB165" s="21"/>
    </row>
    <row r="166" spans="21:28" ht="13">
      <c r="U166" s="20"/>
      <c r="V166" s="20"/>
      <c r="AB166" s="21"/>
    </row>
    <row r="167" spans="21:28" ht="13">
      <c r="U167" s="20"/>
      <c r="V167" s="20"/>
      <c r="AB167" s="21"/>
    </row>
    <row r="168" spans="21:28" ht="13">
      <c r="U168" s="20"/>
      <c r="V168" s="20"/>
      <c r="AB168" s="21"/>
    </row>
    <row r="169" spans="21:28" ht="13">
      <c r="U169" s="20"/>
      <c r="V169" s="20"/>
      <c r="AB169" s="21"/>
    </row>
    <row r="170" spans="21:28" ht="13">
      <c r="U170" s="20"/>
      <c r="V170" s="20"/>
      <c r="AB170" s="21"/>
    </row>
    <row r="171" spans="21:28" ht="13">
      <c r="U171" s="20"/>
      <c r="V171" s="20"/>
      <c r="AB171" s="21"/>
    </row>
    <row r="172" spans="21:28" ht="13">
      <c r="U172" s="20"/>
      <c r="V172" s="20"/>
      <c r="AB172" s="21"/>
    </row>
    <row r="173" spans="21:28" ht="13">
      <c r="U173" s="20"/>
      <c r="V173" s="20"/>
      <c r="AB173" s="21"/>
    </row>
    <row r="174" spans="21:28" ht="13">
      <c r="U174" s="20"/>
      <c r="V174" s="20"/>
      <c r="AB174" s="21"/>
    </row>
    <row r="175" spans="21:28" ht="13">
      <c r="U175" s="20"/>
      <c r="V175" s="20"/>
      <c r="AB175" s="21"/>
    </row>
    <row r="176" spans="21:28" ht="13">
      <c r="U176" s="20"/>
      <c r="V176" s="20"/>
      <c r="AB176" s="21"/>
    </row>
    <row r="177" spans="21:28" ht="13">
      <c r="U177" s="20"/>
      <c r="V177" s="20"/>
      <c r="AB177" s="21"/>
    </row>
    <row r="178" spans="21:28" ht="13">
      <c r="U178" s="20"/>
      <c r="V178" s="20"/>
      <c r="AB178" s="21"/>
    </row>
    <row r="179" spans="21:28" ht="13">
      <c r="U179" s="20"/>
      <c r="V179" s="20"/>
      <c r="AB179" s="21"/>
    </row>
    <row r="180" spans="21:28" ht="13">
      <c r="U180" s="20"/>
      <c r="V180" s="20"/>
      <c r="AB180" s="21"/>
    </row>
    <row r="181" spans="21:28" ht="13">
      <c r="U181" s="20"/>
      <c r="V181" s="20"/>
      <c r="AB181" s="21"/>
    </row>
    <row r="182" spans="21:28" ht="13">
      <c r="U182" s="20"/>
      <c r="V182" s="20"/>
      <c r="AB182" s="21"/>
    </row>
    <row r="183" spans="21:28" ht="13">
      <c r="U183" s="20"/>
      <c r="V183" s="20"/>
      <c r="AB183" s="21"/>
    </row>
    <row r="184" spans="21:28" ht="13">
      <c r="U184" s="20"/>
      <c r="V184" s="20"/>
      <c r="AB184" s="21"/>
    </row>
    <row r="185" spans="21:28" ht="13">
      <c r="U185" s="20"/>
      <c r="V185" s="20"/>
      <c r="AB185" s="21"/>
    </row>
    <row r="186" spans="21:28" ht="13">
      <c r="U186" s="20"/>
      <c r="V186" s="20"/>
      <c r="AB186" s="21"/>
    </row>
    <row r="187" spans="21:28" ht="13">
      <c r="U187" s="20"/>
      <c r="V187" s="20"/>
      <c r="AB187" s="21"/>
    </row>
    <row r="188" spans="21:28" ht="13">
      <c r="U188" s="20"/>
      <c r="V188" s="20"/>
      <c r="AB188" s="21"/>
    </row>
    <row r="189" spans="21:28" ht="13">
      <c r="U189" s="20"/>
      <c r="V189" s="20"/>
      <c r="AB189" s="21"/>
    </row>
    <row r="190" spans="21:28" ht="13">
      <c r="U190" s="20"/>
      <c r="V190" s="20"/>
      <c r="AB190" s="21"/>
    </row>
    <row r="191" spans="21:28" ht="13">
      <c r="U191" s="20"/>
      <c r="V191" s="20"/>
      <c r="AB191" s="21"/>
    </row>
    <row r="192" spans="21:28" ht="13">
      <c r="U192" s="20"/>
      <c r="V192" s="20"/>
      <c r="AB192" s="21"/>
    </row>
    <row r="193" spans="21:28" ht="13">
      <c r="U193" s="20"/>
      <c r="V193" s="20"/>
      <c r="AB193" s="21"/>
    </row>
    <row r="194" spans="21:28" ht="13">
      <c r="U194" s="20"/>
      <c r="V194" s="20"/>
      <c r="AB194" s="21"/>
    </row>
    <row r="195" spans="21:28" ht="13">
      <c r="U195" s="20"/>
      <c r="V195" s="20"/>
      <c r="AB195" s="21"/>
    </row>
    <row r="196" spans="21:28" ht="13">
      <c r="U196" s="20"/>
      <c r="V196" s="20"/>
      <c r="AB196" s="21"/>
    </row>
    <row r="197" spans="21:28" ht="13">
      <c r="U197" s="20"/>
      <c r="V197" s="20"/>
      <c r="AB197" s="21"/>
    </row>
    <row r="198" spans="21:28" ht="13">
      <c r="U198" s="20"/>
      <c r="V198" s="20"/>
      <c r="AB198" s="21"/>
    </row>
    <row r="199" spans="21:28" ht="13">
      <c r="U199" s="20"/>
      <c r="V199" s="20"/>
      <c r="AB199" s="21"/>
    </row>
    <row r="200" spans="21:28" ht="13">
      <c r="U200" s="20"/>
      <c r="V200" s="20"/>
      <c r="AB200" s="21"/>
    </row>
    <row r="201" spans="21:28" ht="13">
      <c r="U201" s="20"/>
      <c r="V201" s="20"/>
      <c r="AB201" s="21"/>
    </row>
    <row r="202" spans="21:28" ht="13">
      <c r="U202" s="20"/>
      <c r="V202" s="20"/>
      <c r="AB202" s="21"/>
    </row>
    <row r="203" spans="21:28" ht="13">
      <c r="U203" s="20"/>
      <c r="V203" s="20"/>
      <c r="AB203" s="21"/>
    </row>
    <row r="204" spans="21:28" ht="13">
      <c r="U204" s="20"/>
      <c r="V204" s="20"/>
      <c r="AB204" s="21"/>
    </row>
    <row r="205" spans="21:28" ht="13">
      <c r="U205" s="20"/>
      <c r="V205" s="20"/>
      <c r="AB205" s="21"/>
    </row>
    <row r="206" spans="21:28" ht="13">
      <c r="U206" s="20"/>
      <c r="V206" s="20"/>
      <c r="AB206" s="21"/>
    </row>
    <row r="207" spans="21:28" ht="13">
      <c r="U207" s="20"/>
      <c r="V207" s="20"/>
      <c r="AB207" s="21"/>
    </row>
    <row r="208" spans="21:28" ht="13">
      <c r="U208" s="20"/>
      <c r="V208" s="20"/>
      <c r="AB208" s="21"/>
    </row>
    <row r="209" spans="21:28" ht="13">
      <c r="U209" s="20"/>
      <c r="V209" s="20"/>
      <c r="AB209" s="21"/>
    </row>
    <row r="210" spans="21:28" ht="13">
      <c r="U210" s="20"/>
      <c r="V210" s="20"/>
      <c r="AB210" s="21"/>
    </row>
    <row r="211" spans="21:28" ht="13">
      <c r="U211" s="20"/>
      <c r="V211" s="20"/>
      <c r="AB211" s="21"/>
    </row>
    <row r="212" spans="21:28" ht="13">
      <c r="U212" s="20"/>
      <c r="V212" s="20"/>
      <c r="AB212" s="21"/>
    </row>
    <row r="213" spans="21:28" ht="13">
      <c r="U213" s="20"/>
      <c r="V213" s="20"/>
      <c r="AB213" s="21"/>
    </row>
    <row r="214" spans="21:28" ht="13">
      <c r="U214" s="20"/>
      <c r="V214" s="20"/>
      <c r="AB214" s="21"/>
    </row>
    <row r="215" spans="21:28" ht="13">
      <c r="U215" s="20"/>
      <c r="V215" s="20"/>
      <c r="AB215" s="21"/>
    </row>
    <row r="216" spans="21:28" ht="13">
      <c r="U216" s="20"/>
      <c r="V216" s="20"/>
      <c r="AB216" s="21"/>
    </row>
    <row r="217" spans="21:28" ht="13">
      <c r="U217" s="20"/>
      <c r="V217" s="20"/>
      <c r="AB217" s="21"/>
    </row>
    <row r="218" spans="21:28" ht="13">
      <c r="U218" s="20"/>
      <c r="V218" s="20"/>
      <c r="AB218" s="21"/>
    </row>
    <row r="219" spans="21:28" ht="13">
      <c r="U219" s="20"/>
      <c r="V219" s="20"/>
      <c r="AB219" s="21"/>
    </row>
    <row r="220" spans="21:28" ht="13">
      <c r="U220" s="20"/>
      <c r="V220" s="20"/>
      <c r="AB220" s="21"/>
    </row>
    <row r="221" spans="21:28" ht="13">
      <c r="U221" s="20"/>
      <c r="V221" s="20"/>
      <c r="AB221" s="21"/>
    </row>
    <row r="222" spans="21:28" ht="13">
      <c r="U222" s="20"/>
      <c r="V222" s="20"/>
      <c r="AB222" s="21"/>
    </row>
    <row r="223" spans="21:28" ht="13">
      <c r="U223" s="20"/>
      <c r="V223" s="20"/>
      <c r="AB223" s="21"/>
    </row>
    <row r="224" spans="21:28" ht="13">
      <c r="U224" s="20"/>
      <c r="V224" s="20"/>
      <c r="AB224" s="21"/>
    </row>
    <row r="225" spans="21:28" ht="13">
      <c r="U225" s="20"/>
      <c r="V225" s="20"/>
      <c r="AB225" s="21"/>
    </row>
    <row r="226" spans="21:28" ht="13">
      <c r="U226" s="20"/>
      <c r="V226" s="20"/>
      <c r="AB226" s="21"/>
    </row>
    <row r="227" spans="21:28" ht="13">
      <c r="U227" s="20"/>
      <c r="V227" s="20"/>
      <c r="AB227" s="21"/>
    </row>
    <row r="228" spans="21:28" ht="13">
      <c r="U228" s="20"/>
      <c r="V228" s="20"/>
      <c r="AB228" s="21"/>
    </row>
    <row r="229" spans="21:28" ht="13">
      <c r="U229" s="20"/>
      <c r="V229" s="20"/>
      <c r="AB229" s="21"/>
    </row>
    <row r="230" spans="21:28" ht="13">
      <c r="U230" s="20"/>
      <c r="V230" s="20"/>
      <c r="AB230" s="21"/>
    </row>
    <row r="231" spans="21:28" ht="13">
      <c r="U231" s="20"/>
      <c r="V231" s="20"/>
      <c r="AB231" s="21"/>
    </row>
    <row r="232" spans="21:28" ht="13">
      <c r="U232" s="20"/>
      <c r="V232" s="20"/>
      <c r="AB232" s="21"/>
    </row>
    <row r="233" spans="21:28" ht="13">
      <c r="U233" s="20"/>
      <c r="V233" s="20"/>
      <c r="AB233" s="21"/>
    </row>
    <row r="234" spans="21:28" ht="13">
      <c r="U234" s="20"/>
      <c r="V234" s="20"/>
      <c r="AB234" s="21"/>
    </row>
    <row r="235" spans="21:28" ht="13">
      <c r="U235" s="20"/>
      <c r="V235" s="20"/>
      <c r="AB235" s="21"/>
    </row>
    <row r="236" spans="21:28" ht="13">
      <c r="U236" s="20"/>
      <c r="V236" s="20"/>
      <c r="AB236" s="21"/>
    </row>
    <row r="237" spans="21:28" ht="13">
      <c r="U237" s="20"/>
      <c r="V237" s="20"/>
      <c r="AB237" s="21"/>
    </row>
    <row r="238" spans="21:28" ht="13">
      <c r="U238" s="20"/>
      <c r="V238" s="20"/>
      <c r="AB238" s="21"/>
    </row>
    <row r="239" spans="21:28" ht="13">
      <c r="U239" s="20"/>
      <c r="V239" s="20"/>
      <c r="AB239" s="21"/>
    </row>
    <row r="240" spans="21:28" ht="13">
      <c r="U240" s="20"/>
      <c r="V240" s="20"/>
      <c r="AB240" s="21"/>
    </row>
    <row r="241" spans="21:28" ht="13">
      <c r="U241" s="20"/>
      <c r="V241" s="20"/>
      <c r="AB241" s="21"/>
    </row>
    <row r="242" spans="21:28" ht="13">
      <c r="U242" s="20"/>
      <c r="V242" s="20"/>
      <c r="AB242" s="21"/>
    </row>
    <row r="243" spans="21:28" ht="13">
      <c r="U243" s="20"/>
      <c r="V243" s="20"/>
      <c r="AB243" s="21"/>
    </row>
    <row r="244" spans="21:28" ht="13">
      <c r="U244" s="20"/>
      <c r="V244" s="20"/>
      <c r="AB244" s="21"/>
    </row>
    <row r="245" spans="21:28" ht="13">
      <c r="U245" s="20"/>
      <c r="V245" s="20"/>
      <c r="AB245" s="21"/>
    </row>
    <row r="246" spans="21:28" ht="13">
      <c r="U246" s="20"/>
      <c r="V246" s="20"/>
      <c r="AB246" s="21"/>
    </row>
    <row r="247" spans="21:28" ht="13">
      <c r="U247" s="20"/>
      <c r="V247" s="20"/>
      <c r="AB247" s="21"/>
    </row>
    <row r="248" spans="21:28" ht="13">
      <c r="U248" s="20"/>
      <c r="V248" s="20"/>
      <c r="AB248" s="21"/>
    </row>
    <row r="249" spans="21:28" ht="13">
      <c r="U249" s="20"/>
      <c r="V249" s="20"/>
      <c r="AB249" s="21"/>
    </row>
    <row r="250" spans="21:28" ht="13">
      <c r="U250" s="20"/>
      <c r="V250" s="20"/>
      <c r="AB250" s="21"/>
    </row>
    <row r="251" spans="21:28" ht="13">
      <c r="U251" s="20"/>
      <c r="V251" s="20"/>
      <c r="AB251" s="21"/>
    </row>
    <row r="252" spans="21:28" ht="13">
      <c r="U252" s="20"/>
      <c r="V252" s="20"/>
      <c r="AB252" s="21"/>
    </row>
    <row r="253" spans="21:28" ht="13">
      <c r="U253" s="20"/>
      <c r="V253" s="20"/>
      <c r="AB253" s="21"/>
    </row>
    <row r="254" spans="21:28" ht="13">
      <c r="U254" s="20"/>
      <c r="V254" s="20"/>
      <c r="AB254" s="21"/>
    </row>
    <row r="255" spans="21:28" ht="13">
      <c r="U255" s="20"/>
      <c r="V255" s="20"/>
      <c r="AB255" s="21"/>
    </row>
    <row r="256" spans="21:28" ht="13">
      <c r="U256" s="20"/>
      <c r="V256" s="20"/>
      <c r="AB256" s="21"/>
    </row>
    <row r="257" spans="21:28" ht="13">
      <c r="U257" s="20"/>
      <c r="V257" s="20"/>
      <c r="AB257" s="21"/>
    </row>
    <row r="258" spans="21:28" ht="13">
      <c r="U258" s="20"/>
      <c r="V258" s="20"/>
      <c r="AB258" s="21"/>
    </row>
    <row r="259" spans="21:28" ht="13">
      <c r="U259" s="20"/>
      <c r="V259" s="20"/>
      <c r="AB259" s="21"/>
    </row>
    <row r="260" spans="21:28" ht="13">
      <c r="U260" s="20"/>
      <c r="V260" s="20"/>
      <c r="AB260" s="21"/>
    </row>
    <row r="261" spans="21:28" ht="13">
      <c r="U261" s="20"/>
      <c r="V261" s="20"/>
      <c r="AB261" s="21"/>
    </row>
    <row r="262" spans="21:28" ht="13">
      <c r="U262" s="20"/>
      <c r="V262" s="20"/>
      <c r="AB262" s="21"/>
    </row>
    <row r="263" spans="21:28" ht="13">
      <c r="U263" s="20"/>
      <c r="V263" s="20"/>
      <c r="AB263" s="21"/>
    </row>
    <row r="264" spans="21:28" ht="13">
      <c r="U264" s="20"/>
      <c r="V264" s="20"/>
      <c r="AB264" s="21"/>
    </row>
    <row r="265" spans="21:28" ht="13">
      <c r="U265" s="20"/>
      <c r="V265" s="20"/>
      <c r="AB265" s="21"/>
    </row>
    <row r="266" spans="21:28" ht="13">
      <c r="U266" s="20"/>
      <c r="V266" s="20"/>
      <c r="AB266" s="21"/>
    </row>
    <row r="267" spans="21:28" ht="13">
      <c r="U267" s="20"/>
      <c r="V267" s="20"/>
      <c r="AB267" s="21"/>
    </row>
    <row r="268" spans="21:28" ht="13">
      <c r="U268" s="20"/>
      <c r="V268" s="20"/>
      <c r="AB268" s="21"/>
    </row>
    <row r="269" spans="21:28" ht="13">
      <c r="U269" s="20"/>
      <c r="V269" s="20"/>
      <c r="AB269" s="21"/>
    </row>
    <row r="270" spans="21:28" ht="13">
      <c r="U270" s="20"/>
      <c r="V270" s="20"/>
      <c r="AB270" s="21"/>
    </row>
    <row r="271" spans="21:28" ht="13">
      <c r="U271" s="20"/>
      <c r="V271" s="20"/>
      <c r="AB271" s="21"/>
    </row>
    <row r="272" spans="21:28" ht="13">
      <c r="U272" s="20"/>
      <c r="V272" s="20"/>
      <c r="AB272" s="21"/>
    </row>
    <row r="273" spans="21:28" ht="13">
      <c r="U273" s="20"/>
      <c r="V273" s="20"/>
      <c r="AB273" s="21"/>
    </row>
    <row r="274" spans="21:28" ht="13">
      <c r="U274" s="20"/>
      <c r="V274" s="20"/>
      <c r="AB274" s="21"/>
    </row>
    <row r="275" spans="21:28" ht="13">
      <c r="U275" s="20"/>
      <c r="V275" s="20"/>
      <c r="AB275" s="21"/>
    </row>
    <row r="276" spans="21:28" ht="13">
      <c r="U276" s="20"/>
      <c r="V276" s="20"/>
      <c r="AB276" s="21"/>
    </row>
    <row r="277" spans="21:28" ht="13">
      <c r="U277" s="20"/>
      <c r="V277" s="20"/>
      <c r="AB277" s="21"/>
    </row>
    <row r="278" spans="21:28" ht="13">
      <c r="U278" s="20"/>
      <c r="V278" s="20"/>
      <c r="AB278" s="21"/>
    </row>
    <row r="279" spans="21:28" ht="13">
      <c r="U279" s="20"/>
      <c r="V279" s="20"/>
      <c r="AB279" s="21"/>
    </row>
    <row r="280" spans="21:28" ht="13">
      <c r="U280" s="20"/>
      <c r="V280" s="20"/>
      <c r="AB280" s="21"/>
    </row>
    <row r="281" spans="21:28" ht="13">
      <c r="U281" s="20"/>
      <c r="V281" s="20"/>
      <c r="AB281" s="21"/>
    </row>
    <row r="282" spans="21:28" ht="13">
      <c r="U282" s="20"/>
      <c r="V282" s="20"/>
      <c r="AB282" s="21"/>
    </row>
    <row r="283" spans="21:28" ht="13">
      <c r="U283" s="20"/>
      <c r="V283" s="20"/>
      <c r="AB283" s="21"/>
    </row>
    <row r="284" spans="21:28" ht="13">
      <c r="U284" s="20"/>
      <c r="V284" s="20"/>
      <c r="AB284" s="21"/>
    </row>
    <row r="285" spans="21:28" ht="13">
      <c r="U285" s="20"/>
      <c r="V285" s="20"/>
      <c r="AB285" s="21"/>
    </row>
    <row r="286" spans="21:28" ht="13">
      <c r="U286" s="20"/>
      <c r="V286" s="20"/>
      <c r="AB286" s="21"/>
    </row>
    <row r="287" spans="21:28" ht="13">
      <c r="U287" s="20"/>
      <c r="V287" s="20"/>
      <c r="AB287" s="21"/>
    </row>
    <row r="288" spans="21:28" ht="13">
      <c r="U288" s="20"/>
      <c r="V288" s="20"/>
      <c r="AB288" s="21"/>
    </row>
    <row r="289" spans="21:28" ht="13">
      <c r="U289" s="20"/>
      <c r="V289" s="20"/>
      <c r="AB289" s="21"/>
    </row>
    <row r="290" spans="21:28" ht="13">
      <c r="U290" s="20"/>
      <c r="V290" s="20"/>
      <c r="AB290" s="21"/>
    </row>
    <row r="291" spans="21:28" ht="13">
      <c r="U291" s="20"/>
      <c r="V291" s="20"/>
      <c r="AB291" s="21"/>
    </row>
    <row r="292" spans="21:28" ht="13">
      <c r="U292" s="20"/>
      <c r="V292" s="20"/>
      <c r="AB292" s="21"/>
    </row>
    <row r="293" spans="21:28" ht="13">
      <c r="U293" s="20"/>
      <c r="V293" s="20"/>
      <c r="AB293" s="21"/>
    </row>
    <row r="294" spans="21:28" ht="13">
      <c r="U294" s="20"/>
      <c r="V294" s="20"/>
      <c r="AB294" s="21"/>
    </row>
    <row r="295" spans="21:28" ht="13">
      <c r="U295" s="20"/>
      <c r="V295" s="20"/>
      <c r="AB295" s="21"/>
    </row>
    <row r="296" spans="21:28" ht="13">
      <c r="U296" s="20"/>
      <c r="V296" s="20"/>
      <c r="AB296" s="21"/>
    </row>
    <row r="297" spans="21:28" ht="13">
      <c r="U297" s="20"/>
      <c r="V297" s="20"/>
      <c r="AB297" s="21"/>
    </row>
    <row r="298" spans="21:28" ht="13">
      <c r="U298" s="20"/>
      <c r="V298" s="20"/>
      <c r="AB298" s="21"/>
    </row>
    <row r="299" spans="21:28" ht="13">
      <c r="U299" s="20"/>
      <c r="V299" s="20"/>
      <c r="AB299" s="21"/>
    </row>
    <row r="300" spans="21:28" ht="13">
      <c r="U300" s="20"/>
      <c r="V300" s="20"/>
      <c r="AB300" s="21"/>
    </row>
    <row r="301" spans="21:28" ht="13">
      <c r="U301" s="20"/>
      <c r="V301" s="20"/>
      <c r="AB301" s="21"/>
    </row>
    <row r="302" spans="21:28" ht="13">
      <c r="U302" s="20"/>
      <c r="V302" s="20"/>
      <c r="AB302" s="21"/>
    </row>
    <row r="303" spans="21:28" ht="13">
      <c r="U303" s="20"/>
      <c r="V303" s="20"/>
      <c r="AB303" s="21"/>
    </row>
    <row r="304" spans="21:28" ht="13">
      <c r="U304" s="20"/>
      <c r="V304" s="20"/>
      <c r="AB304" s="21"/>
    </row>
    <row r="305" spans="21:28" ht="13">
      <c r="U305" s="20"/>
      <c r="V305" s="20"/>
      <c r="AB305" s="21"/>
    </row>
    <row r="306" spans="21:28" ht="13">
      <c r="U306" s="20"/>
      <c r="V306" s="20"/>
      <c r="AB306" s="21"/>
    </row>
    <row r="307" spans="21:28" ht="13">
      <c r="U307" s="20"/>
      <c r="V307" s="20"/>
      <c r="AB307" s="21"/>
    </row>
    <row r="308" spans="21:28" ht="13">
      <c r="U308" s="20"/>
      <c r="V308" s="20"/>
      <c r="AB308" s="21"/>
    </row>
    <row r="309" spans="21:28" ht="13">
      <c r="U309" s="20"/>
      <c r="V309" s="20"/>
      <c r="AB309" s="21"/>
    </row>
    <row r="310" spans="21:28" ht="13">
      <c r="U310" s="20"/>
      <c r="V310" s="20"/>
      <c r="AB310" s="21"/>
    </row>
    <row r="311" spans="21:28" ht="13">
      <c r="U311" s="20"/>
      <c r="V311" s="20"/>
      <c r="AB311" s="21"/>
    </row>
    <row r="312" spans="21:28" ht="13">
      <c r="U312" s="20"/>
      <c r="V312" s="20"/>
      <c r="AB312" s="21"/>
    </row>
    <row r="313" spans="21:28" ht="13">
      <c r="U313" s="20"/>
      <c r="V313" s="20"/>
      <c r="AB313" s="21"/>
    </row>
    <row r="314" spans="21:28" ht="13">
      <c r="U314" s="20"/>
      <c r="V314" s="20"/>
      <c r="AB314" s="21"/>
    </row>
    <row r="315" spans="21:28" ht="13">
      <c r="U315" s="20"/>
      <c r="V315" s="20"/>
      <c r="AB315" s="21"/>
    </row>
    <row r="316" spans="21:28" ht="13">
      <c r="U316" s="20"/>
      <c r="V316" s="20"/>
      <c r="AB316" s="21"/>
    </row>
    <row r="317" spans="21:28" ht="13">
      <c r="U317" s="20"/>
      <c r="V317" s="20"/>
      <c r="AB317" s="21"/>
    </row>
    <row r="318" spans="21:28" ht="13">
      <c r="U318" s="20"/>
      <c r="V318" s="20"/>
      <c r="AB318" s="21"/>
    </row>
    <row r="319" spans="21:28" ht="13">
      <c r="U319" s="20"/>
      <c r="V319" s="20"/>
      <c r="AB319" s="21"/>
    </row>
    <row r="320" spans="21:28" ht="13">
      <c r="U320" s="20"/>
      <c r="V320" s="20"/>
      <c r="AB320" s="21"/>
    </row>
    <row r="321" spans="21:28" ht="13">
      <c r="U321" s="20"/>
      <c r="V321" s="20"/>
      <c r="AB321" s="21"/>
    </row>
    <row r="322" spans="21:28" ht="13">
      <c r="U322" s="20"/>
      <c r="V322" s="20"/>
      <c r="AB322" s="21"/>
    </row>
    <row r="323" spans="21:28" ht="13">
      <c r="U323" s="20"/>
      <c r="V323" s="20"/>
      <c r="AB323" s="21"/>
    </row>
    <row r="324" spans="21:28" ht="13">
      <c r="U324" s="20"/>
      <c r="V324" s="20"/>
      <c r="AB324" s="21"/>
    </row>
    <row r="325" spans="21:28" ht="13">
      <c r="U325" s="20"/>
      <c r="V325" s="20"/>
      <c r="AB325" s="21"/>
    </row>
    <row r="326" spans="21:28" ht="13">
      <c r="U326" s="20"/>
      <c r="V326" s="20"/>
      <c r="AB326" s="21"/>
    </row>
    <row r="327" spans="21:28" ht="13">
      <c r="U327" s="20"/>
      <c r="V327" s="20"/>
      <c r="AB327" s="21"/>
    </row>
    <row r="328" spans="21:28" ht="13">
      <c r="U328" s="20"/>
      <c r="V328" s="20"/>
      <c r="AB328" s="21"/>
    </row>
    <row r="329" spans="21:28" ht="13">
      <c r="U329" s="20"/>
      <c r="V329" s="20"/>
      <c r="AB329" s="21"/>
    </row>
    <row r="330" spans="21:28" ht="13">
      <c r="U330" s="20"/>
      <c r="V330" s="20"/>
      <c r="AB330" s="21"/>
    </row>
    <row r="331" spans="21:28" ht="13">
      <c r="U331" s="20"/>
      <c r="V331" s="20"/>
      <c r="AB331" s="21"/>
    </row>
    <row r="332" spans="21:28" ht="13">
      <c r="U332" s="20"/>
      <c r="V332" s="20"/>
      <c r="AB332" s="21"/>
    </row>
    <row r="333" spans="21:28" ht="13">
      <c r="U333" s="20"/>
      <c r="V333" s="20"/>
      <c r="AB333" s="21"/>
    </row>
    <row r="334" spans="21:28" ht="13">
      <c r="U334" s="20"/>
      <c r="V334" s="20"/>
      <c r="AB334" s="21"/>
    </row>
    <row r="335" spans="21:28" ht="13">
      <c r="U335" s="20"/>
      <c r="V335" s="20"/>
      <c r="AB335" s="21"/>
    </row>
    <row r="336" spans="21:28" ht="13">
      <c r="U336" s="20"/>
      <c r="V336" s="20"/>
      <c r="AB336" s="21"/>
    </row>
    <row r="337" spans="21:28" ht="13">
      <c r="U337" s="20"/>
      <c r="V337" s="20"/>
      <c r="AB337" s="21"/>
    </row>
    <row r="338" spans="21:28" ht="13">
      <c r="U338" s="20"/>
      <c r="V338" s="20"/>
      <c r="AB338" s="21"/>
    </row>
    <row r="339" spans="21:28" ht="13">
      <c r="U339" s="20"/>
      <c r="V339" s="20"/>
      <c r="AB339" s="21"/>
    </row>
    <row r="340" spans="21:28" ht="13">
      <c r="U340" s="20"/>
      <c r="V340" s="20"/>
      <c r="AB340" s="21"/>
    </row>
    <row r="341" spans="21:28" ht="13">
      <c r="U341" s="20"/>
      <c r="V341" s="20"/>
      <c r="AB341" s="21"/>
    </row>
    <row r="342" spans="21:28" ht="13">
      <c r="U342" s="20"/>
      <c r="V342" s="20"/>
      <c r="AB342" s="21"/>
    </row>
    <row r="343" spans="21:28" ht="13">
      <c r="U343" s="20"/>
      <c r="V343" s="20"/>
      <c r="AB343" s="21"/>
    </row>
    <row r="344" spans="21:28" ht="13">
      <c r="U344" s="20"/>
      <c r="V344" s="20"/>
      <c r="AB344" s="21"/>
    </row>
    <row r="345" spans="21:28" ht="13">
      <c r="U345" s="20"/>
      <c r="V345" s="20"/>
      <c r="AB345" s="21"/>
    </row>
    <row r="346" spans="21:28" ht="13">
      <c r="U346" s="20"/>
      <c r="V346" s="20"/>
      <c r="AB346" s="21"/>
    </row>
    <row r="347" spans="21:28" ht="13">
      <c r="U347" s="20"/>
      <c r="V347" s="20"/>
      <c r="AB347" s="21"/>
    </row>
    <row r="348" spans="21:28" ht="13">
      <c r="U348" s="20"/>
      <c r="V348" s="20"/>
      <c r="AB348" s="21"/>
    </row>
    <row r="349" spans="21:28" ht="13">
      <c r="U349" s="20"/>
      <c r="V349" s="20"/>
      <c r="AB349" s="21"/>
    </row>
    <row r="350" spans="21:28" ht="13">
      <c r="U350" s="20"/>
      <c r="V350" s="20"/>
      <c r="AB350" s="21"/>
    </row>
    <row r="351" spans="21:28" ht="13">
      <c r="U351" s="20"/>
      <c r="V351" s="20"/>
      <c r="AB351" s="21"/>
    </row>
    <row r="352" spans="21:28" ht="13">
      <c r="U352" s="20"/>
      <c r="V352" s="20"/>
      <c r="AB352" s="21"/>
    </row>
    <row r="353" spans="21:28" ht="13">
      <c r="U353" s="20"/>
      <c r="V353" s="20"/>
      <c r="AB353" s="21"/>
    </row>
    <row r="354" spans="21:28" ht="13">
      <c r="U354" s="20"/>
      <c r="V354" s="20"/>
      <c r="AB354" s="21"/>
    </row>
    <row r="355" spans="21:28" ht="13">
      <c r="U355" s="20"/>
      <c r="V355" s="20"/>
      <c r="AB355" s="21"/>
    </row>
    <row r="356" spans="21:28" ht="13">
      <c r="U356" s="20"/>
      <c r="V356" s="20"/>
      <c r="AB356" s="21"/>
    </row>
    <row r="357" spans="21:28" ht="13">
      <c r="U357" s="20"/>
      <c r="V357" s="20"/>
      <c r="AB357" s="21"/>
    </row>
    <row r="358" spans="21:28" ht="13">
      <c r="U358" s="20"/>
      <c r="V358" s="20"/>
      <c r="AB358" s="21"/>
    </row>
    <row r="359" spans="21:28" ht="13">
      <c r="U359" s="20"/>
      <c r="V359" s="20"/>
      <c r="AB359" s="21"/>
    </row>
    <row r="360" spans="21:28" ht="13">
      <c r="U360" s="20"/>
      <c r="V360" s="20"/>
      <c r="AB360" s="21"/>
    </row>
    <row r="361" spans="21:28" ht="13">
      <c r="U361" s="20"/>
      <c r="V361" s="20"/>
      <c r="AB361" s="21"/>
    </row>
    <row r="362" spans="21:28" ht="13">
      <c r="U362" s="20"/>
      <c r="V362" s="20"/>
      <c r="AB362" s="21"/>
    </row>
    <row r="363" spans="21:28" ht="13">
      <c r="U363" s="20"/>
      <c r="V363" s="20"/>
      <c r="AB363" s="21"/>
    </row>
    <row r="364" spans="21:28" ht="13">
      <c r="U364" s="20"/>
      <c r="V364" s="20"/>
      <c r="AB364" s="21"/>
    </row>
    <row r="365" spans="21:28" ht="13">
      <c r="U365" s="20"/>
      <c r="V365" s="20"/>
      <c r="AB365" s="21"/>
    </row>
    <row r="366" spans="21:28" ht="13">
      <c r="U366" s="20"/>
      <c r="V366" s="20"/>
      <c r="AB366" s="21"/>
    </row>
    <row r="367" spans="21:28" ht="13">
      <c r="U367" s="20"/>
      <c r="V367" s="20"/>
      <c r="AB367" s="21"/>
    </row>
    <row r="368" spans="21:28" ht="13">
      <c r="U368" s="20"/>
      <c r="V368" s="20"/>
      <c r="AB368" s="21"/>
    </row>
    <row r="369" spans="21:28" ht="13">
      <c r="U369" s="20"/>
      <c r="V369" s="20"/>
      <c r="AB369" s="21"/>
    </row>
    <row r="370" spans="21:28" ht="13">
      <c r="U370" s="20"/>
      <c r="V370" s="20"/>
      <c r="AB370" s="21"/>
    </row>
    <row r="371" spans="21:28" ht="13">
      <c r="U371" s="20"/>
      <c r="V371" s="20"/>
      <c r="AB371" s="21"/>
    </row>
    <row r="372" spans="21:28" ht="13">
      <c r="U372" s="20"/>
      <c r="V372" s="20"/>
      <c r="AB372" s="21"/>
    </row>
    <row r="373" spans="21:28" ht="13">
      <c r="U373" s="20"/>
      <c r="V373" s="20"/>
      <c r="AB373" s="21"/>
    </row>
    <row r="374" spans="21:28" ht="13">
      <c r="U374" s="20"/>
      <c r="V374" s="20"/>
      <c r="AB374" s="21"/>
    </row>
    <row r="375" spans="21:28" ht="13">
      <c r="U375" s="20"/>
      <c r="V375" s="20"/>
      <c r="AB375" s="21"/>
    </row>
    <row r="376" spans="21:28" ht="13">
      <c r="U376" s="20"/>
      <c r="V376" s="20"/>
      <c r="AB376" s="21"/>
    </row>
    <row r="377" spans="21:28" ht="13">
      <c r="U377" s="20"/>
      <c r="V377" s="20"/>
      <c r="AB377" s="21"/>
    </row>
    <row r="378" spans="21:28" ht="13">
      <c r="U378" s="20"/>
      <c r="V378" s="20"/>
      <c r="AB378" s="21"/>
    </row>
    <row r="379" spans="21:28" ht="13">
      <c r="U379" s="20"/>
      <c r="V379" s="20"/>
      <c r="AB379" s="21"/>
    </row>
    <row r="380" spans="21:28" ht="13">
      <c r="U380" s="20"/>
      <c r="V380" s="20"/>
      <c r="AB380" s="21"/>
    </row>
    <row r="381" spans="21:28" ht="13">
      <c r="U381" s="20"/>
      <c r="V381" s="20"/>
      <c r="AB381" s="21"/>
    </row>
    <row r="382" spans="21:28" ht="13">
      <c r="U382" s="20"/>
      <c r="V382" s="20"/>
      <c r="AB382" s="21"/>
    </row>
    <row r="383" spans="21:28" ht="13">
      <c r="U383" s="20"/>
      <c r="V383" s="20"/>
      <c r="AB383" s="21"/>
    </row>
    <row r="384" spans="21:28" ht="13">
      <c r="U384" s="20"/>
      <c r="V384" s="20"/>
      <c r="AB384" s="21"/>
    </row>
    <row r="385" spans="21:28" ht="13">
      <c r="U385" s="20"/>
      <c r="V385" s="20"/>
      <c r="AB385" s="21"/>
    </row>
    <row r="386" spans="21:28" ht="13">
      <c r="U386" s="20"/>
      <c r="V386" s="20"/>
      <c r="AB386" s="21"/>
    </row>
    <row r="387" spans="21:28" ht="13">
      <c r="U387" s="20"/>
      <c r="V387" s="20"/>
      <c r="AB387" s="21"/>
    </row>
    <row r="388" spans="21:28" ht="13">
      <c r="U388" s="20"/>
      <c r="V388" s="20"/>
      <c r="AB388" s="21"/>
    </row>
    <row r="389" spans="21:28" ht="13">
      <c r="U389" s="20"/>
      <c r="V389" s="20"/>
      <c r="AB389" s="21"/>
    </row>
    <row r="390" spans="21:28" ht="13">
      <c r="U390" s="20"/>
      <c r="V390" s="20"/>
      <c r="AB390" s="21"/>
    </row>
    <row r="391" spans="21:28" ht="13">
      <c r="U391" s="20"/>
      <c r="V391" s="20"/>
      <c r="AB391" s="21"/>
    </row>
    <row r="392" spans="21:28" ht="13">
      <c r="U392" s="20"/>
      <c r="V392" s="20"/>
      <c r="AB392" s="21"/>
    </row>
    <row r="393" spans="21:28" ht="13">
      <c r="U393" s="20"/>
      <c r="V393" s="20"/>
      <c r="AB393" s="21"/>
    </row>
    <row r="394" spans="21:28" ht="13">
      <c r="U394" s="20"/>
      <c r="V394" s="20"/>
      <c r="AB394" s="21"/>
    </row>
    <row r="395" spans="21:28" ht="13">
      <c r="U395" s="20"/>
      <c r="V395" s="20"/>
      <c r="AB395" s="21"/>
    </row>
    <row r="396" spans="21:28" ht="13">
      <c r="U396" s="20"/>
      <c r="V396" s="20"/>
      <c r="AB396" s="21"/>
    </row>
    <row r="397" spans="21:28" ht="13">
      <c r="U397" s="20"/>
      <c r="V397" s="20"/>
      <c r="AB397" s="21"/>
    </row>
    <row r="398" spans="21:28" ht="13">
      <c r="U398" s="20"/>
      <c r="V398" s="20"/>
      <c r="AB398" s="21"/>
    </row>
    <row r="399" spans="21:28" ht="13">
      <c r="U399" s="20"/>
      <c r="V399" s="20"/>
      <c r="AB399" s="21"/>
    </row>
    <row r="400" spans="21:28" ht="13">
      <c r="U400" s="20"/>
      <c r="V400" s="20"/>
      <c r="AB400" s="21"/>
    </row>
    <row r="401" spans="21:28" ht="13">
      <c r="U401" s="20"/>
      <c r="V401" s="20"/>
      <c r="AB401" s="21"/>
    </row>
    <row r="402" spans="21:28" ht="13">
      <c r="U402" s="20"/>
      <c r="V402" s="20"/>
      <c r="AB402" s="21"/>
    </row>
    <row r="403" spans="21:28" ht="13">
      <c r="U403" s="20"/>
      <c r="V403" s="20"/>
      <c r="AB403" s="21"/>
    </row>
    <row r="404" spans="21:28" ht="13">
      <c r="U404" s="20"/>
      <c r="V404" s="20"/>
      <c r="AB404" s="21"/>
    </row>
    <row r="405" spans="21:28" ht="13">
      <c r="U405" s="20"/>
      <c r="V405" s="20"/>
      <c r="AB405" s="21"/>
    </row>
    <row r="406" spans="21:28" ht="13">
      <c r="U406" s="20"/>
      <c r="V406" s="20"/>
      <c r="AB406" s="21"/>
    </row>
    <row r="407" spans="21:28" ht="13">
      <c r="U407" s="20"/>
      <c r="V407" s="20"/>
      <c r="AB407" s="21"/>
    </row>
    <row r="408" spans="21:28" ht="13">
      <c r="U408" s="20"/>
      <c r="V408" s="20"/>
      <c r="AB408" s="21"/>
    </row>
    <row r="409" spans="21:28" ht="13">
      <c r="U409" s="20"/>
      <c r="V409" s="20"/>
      <c r="AB409" s="21"/>
    </row>
    <row r="410" spans="21:28" ht="13">
      <c r="U410" s="20"/>
      <c r="V410" s="20"/>
      <c r="AB410" s="21"/>
    </row>
    <row r="411" spans="21:28" ht="13">
      <c r="U411" s="20"/>
      <c r="V411" s="20"/>
      <c r="AB411" s="21"/>
    </row>
    <row r="412" spans="21:28" ht="13">
      <c r="U412" s="20"/>
      <c r="V412" s="20"/>
      <c r="AB412" s="21"/>
    </row>
    <row r="413" spans="21:28" ht="13">
      <c r="U413" s="20"/>
      <c r="V413" s="20"/>
      <c r="AB413" s="21"/>
    </row>
    <row r="414" spans="21:28" ht="13">
      <c r="U414" s="20"/>
      <c r="V414" s="20"/>
      <c r="AB414" s="21"/>
    </row>
    <row r="415" spans="21:28" ht="13">
      <c r="U415" s="20"/>
      <c r="V415" s="20"/>
      <c r="AB415" s="21"/>
    </row>
    <row r="416" spans="21:28" ht="13">
      <c r="U416" s="20"/>
      <c r="V416" s="20"/>
      <c r="AB416" s="21"/>
    </row>
    <row r="417" spans="21:28" ht="13">
      <c r="U417" s="20"/>
      <c r="V417" s="20"/>
      <c r="AB417" s="21"/>
    </row>
    <row r="418" spans="21:28" ht="13">
      <c r="U418" s="20"/>
      <c r="V418" s="20"/>
      <c r="AB418" s="21"/>
    </row>
    <row r="419" spans="21:28" ht="13">
      <c r="U419" s="20"/>
      <c r="V419" s="20"/>
      <c r="AB419" s="21"/>
    </row>
    <row r="420" spans="21:28" ht="13">
      <c r="U420" s="20"/>
      <c r="V420" s="20"/>
      <c r="AB420" s="21"/>
    </row>
    <row r="421" spans="21:28" ht="13">
      <c r="U421" s="20"/>
      <c r="V421" s="20"/>
      <c r="AB421" s="21"/>
    </row>
    <row r="422" spans="21:28" ht="13">
      <c r="U422" s="20"/>
      <c r="V422" s="20"/>
      <c r="AB422" s="21"/>
    </row>
    <row r="423" spans="21:28" ht="13">
      <c r="U423" s="20"/>
      <c r="V423" s="20"/>
      <c r="AB423" s="21"/>
    </row>
    <row r="424" spans="21:28" ht="13">
      <c r="U424" s="20"/>
      <c r="V424" s="20"/>
      <c r="AB424" s="21"/>
    </row>
    <row r="425" spans="21:28" ht="13">
      <c r="U425" s="20"/>
      <c r="V425" s="20"/>
      <c r="AB425" s="21"/>
    </row>
    <row r="426" spans="21:28" ht="13">
      <c r="U426" s="20"/>
      <c r="V426" s="20"/>
      <c r="AB426" s="21"/>
    </row>
    <row r="427" spans="21:28" ht="13">
      <c r="U427" s="20"/>
      <c r="V427" s="20"/>
      <c r="AB427" s="21"/>
    </row>
    <row r="428" spans="21:28" ht="13">
      <c r="U428" s="20"/>
      <c r="V428" s="20"/>
      <c r="AB428" s="21"/>
    </row>
    <row r="429" spans="21:28" ht="13">
      <c r="U429" s="20"/>
      <c r="V429" s="20"/>
      <c r="AB429" s="21"/>
    </row>
    <row r="430" spans="21:28" ht="13">
      <c r="U430" s="20"/>
      <c r="V430" s="20"/>
      <c r="AB430" s="21"/>
    </row>
    <row r="431" spans="21:28" ht="13">
      <c r="U431" s="20"/>
      <c r="V431" s="20"/>
      <c r="AB431" s="21"/>
    </row>
    <row r="432" spans="21:28" ht="13">
      <c r="U432" s="20"/>
      <c r="V432" s="20"/>
      <c r="AB432" s="21"/>
    </row>
    <row r="433" spans="21:28" ht="13">
      <c r="U433" s="20"/>
      <c r="V433" s="20"/>
      <c r="AB433" s="21"/>
    </row>
    <row r="434" spans="21:28" ht="13">
      <c r="U434" s="20"/>
      <c r="V434" s="20"/>
      <c r="AB434" s="21"/>
    </row>
    <row r="435" spans="21:28" ht="13">
      <c r="U435" s="20"/>
      <c r="V435" s="20"/>
      <c r="AB435" s="21"/>
    </row>
    <row r="436" spans="21:28" ht="13">
      <c r="U436" s="20"/>
      <c r="V436" s="20"/>
      <c r="AB436" s="21"/>
    </row>
    <row r="437" spans="21:28" ht="13">
      <c r="U437" s="20"/>
      <c r="V437" s="20"/>
      <c r="AB437" s="21"/>
    </row>
    <row r="438" spans="21:28" ht="13">
      <c r="U438" s="20"/>
      <c r="V438" s="20"/>
      <c r="AB438" s="21"/>
    </row>
    <row r="439" spans="21:28" ht="13">
      <c r="U439" s="20"/>
      <c r="V439" s="20"/>
      <c r="AB439" s="21"/>
    </row>
    <row r="440" spans="21:28" ht="13">
      <c r="U440" s="20"/>
      <c r="V440" s="20"/>
      <c r="AB440" s="21"/>
    </row>
    <row r="441" spans="21:28" ht="13">
      <c r="U441" s="20"/>
      <c r="V441" s="20"/>
      <c r="AB441" s="21"/>
    </row>
    <row r="442" spans="21:28" ht="13">
      <c r="U442" s="20"/>
      <c r="V442" s="20"/>
      <c r="AB442" s="21"/>
    </row>
    <row r="443" spans="21:28" ht="13">
      <c r="U443" s="20"/>
      <c r="V443" s="20"/>
      <c r="AB443" s="21"/>
    </row>
    <row r="444" spans="21:28" ht="13">
      <c r="U444" s="20"/>
      <c r="V444" s="20"/>
      <c r="AB444" s="21"/>
    </row>
    <row r="445" spans="21:28" ht="13">
      <c r="U445" s="20"/>
      <c r="V445" s="20"/>
      <c r="AB445" s="21"/>
    </row>
    <row r="446" spans="21:28" ht="13">
      <c r="U446" s="20"/>
      <c r="V446" s="20"/>
      <c r="AB446" s="21"/>
    </row>
    <row r="447" spans="21:28" ht="13">
      <c r="U447" s="20"/>
      <c r="V447" s="20"/>
      <c r="AB447" s="21"/>
    </row>
    <row r="448" spans="21:28" ht="13">
      <c r="U448" s="20"/>
      <c r="V448" s="20"/>
      <c r="AB448" s="21"/>
    </row>
    <row r="449" spans="21:28" ht="13">
      <c r="U449" s="20"/>
      <c r="V449" s="20"/>
      <c r="AB449" s="21"/>
    </row>
    <row r="450" spans="21:28" ht="13">
      <c r="U450" s="20"/>
      <c r="V450" s="20"/>
      <c r="AB450" s="21"/>
    </row>
    <row r="451" spans="21:28" ht="13">
      <c r="U451" s="20"/>
      <c r="V451" s="20"/>
      <c r="AB451" s="21"/>
    </row>
    <row r="452" spans="21:28" ht="13">
      <c r="U452" s="20"/>
      <c r="V452" s="20"/>
      <c r="AB452" s="21"/>
    </row>
    <row r="453" spans="21:28" ht="13">
      <c r="U453" s="20"/>
      <c r="V453" s="20"/>
      <c r="AB453" s="21"/>
    </row>
    <row r="454" spans="21:28" ht="13">
      <c r="U454" s="20"/>
      <c r="V454" s="20"/>
      <c r="AB454" s="21"/>
    </row>
    <row r="455" spans="21:28" ht="13">
      <c r="U455" s="20"/>
      <c r="V455" s="20"/>
      <c r="AB455" s="21"/>
    </row>
    <row r="456" spans="21:28" ht="13">
      <c r="U456" s="20"/>
      <c r="V456" s="20"/>
      <c r="AB456" s="21"/>
    </row>
    <row r="457" spans="21:28" ht="13">
      <c r="U457" s="20"/>
      <c r="V457" s="20"/>
      <c r="AB457" s="21"/>
    </row>
    <row r="458" spans="21:28" ht="13">
      <c r="U458" s="20"/>
      <c r="V458" s="20"/>
      <c r="AB458" s="21"/>
    </row>
    <row r="459" spans="21:28" ht="13">
      <c r="U459" s="20"/>
      <c r="V459" s="20"/>
      <c r="AB459" s="21"/>
    </row>
    <row r="460" spans="21:28" ht="13">
      <c r="U460" s="20"/>
      <c r="V460" s="20"/>
      <c r="AB460" s="21"/>
    </row>
    <row r="461" spans="21:28" ht="13">
      <c r="U461" s="20"/>
      <c r="V461" s="20"/>
      <c r="AB461" s="21"/>
    </row>
    <row r="462" spans="21:28" ht="13">
      <c r="U462" s="20"/>
      <c r="V462" s="20"/>
      <c r="AB462" s="21"/>
    </row>
    <row r="463" spans="21:28" ht="13">
      <c r="U463" s="20"/>
      <c r="V463" s="20"/>
      <c r="AB463" s="21"/>
    </row>
    <row r="464" spans="21:28" ht="13">
      <c r="U464" s="20"/>
      <c r="V464" s="20"/>
      <c r="AB464" s="21"/>
    </row>
    <row r="465" spans="21:28" ht="13">
      <c r="U465" s="20"/>
      <c r="V465" s="20"/>
      <c r="AB465" s="21"/>
    </row>
    <row r="466" spans="21:28" ht="13">
      <c r="U466" s="20"/>
      <c r="V466" s="20"/>
      <c r="AB466" s="21"/>
    </row>
    <row r="467" spans="21:28" ht="13">
      <c r="U467" s="20"/>
      <c r="V467" s="20"/>
      <c r="AB467" s="21"/>
    </row>
    <row r="468" spans="21:28" ht="13">
      <c r="U468" s="20"/>
      <c r="V468" s="20"/>
      <c r="AB468" s="21"/>
    </row>
    <row r="469" spans="21:28" ht="13">
      <c r="U469" s="20"/>
      <c r="V469" s="20"/>
      <c r="AB469" s="21"/>
    </row>
    <row r="470" spans="21:28" ht="13">
      <c r="U470" s="20"/>
      <c r="V470" s="20"/>
      <c r="AB470" s="21"/>
    </row>
    <row r="471" spans="21:28" ht="13">
      <c r="U471" s="20"/>
      <c r="V471" s="20"/>
      <c r="AB471" s="21"/>
    </row>
    <row r="472" spans="21:28" ht="13">
      <c r="U472" s="20"/>
      <c r="V472" s="20"/>
      <c r="AB472" s="21"/>
    </row>
    <row r="473" spans="21:28" ht="13">
      <c r="U473" s="20"/>
      <c r="V473" s="20"/>
      <c r="AB473" s="21"/>
    </row>
    <row r="474" spans="21:28" ht="13">
      <c r="U474" s="20"/>
      <c r="V474" s="20"/>
      <c r="AB474" s="21"/>
    </row>
    <row r="475" spans="21:28" ht="13">
      <c r="U475" s="20"/>
      <c r="V475" s="20"/>
      <c r="AB475" s="21"/>
    </row>
    <row r="476" spans="21:28" ht="13">
      <c r="U476" s="20"/>
      <c r="V476" s="20"/>
      <c r="AB476" s="21"/>
    </row>
    <row r="477" spans="21:28" ht="13">
      <c r="U477" s="20"/>
      <c r="V477" s="20"/>
      <c r="AB477" s="21"/>
    </row>
    <row r="478" spans="21:28" ht="13">
      <c r="U478" s="20"/>
      <c r="V478" s="20"/>
      <c r="AB478" s="21"/>
    </row>
    <row r="479" spans="21:28" ht="13">
      <c r="U479" s="20"/>
      <c r="V479" s="20"/>
      <c r="AB479" s="21"/>
    </row>
    <row r="480" spans="21:28" ht="13">
      <c r="U480" s="20"/>
      <c r="V480" s="20"/>
      <c r="AB480" s="21"/>
    </row>
    <row r="481" spans="21:28" ht="13">
      <c r="U481" s="20"/>
      <c r="V481" s="20"/>
      <c r="AB481" s="21"/>
    </row>
    <row r="482" spans="21:28" ht="13">
      <c r="U482" s="20"/>
      <c r="V482" s="20"/>
      <c r="AB482" s="21"/>
    </row>
    <row r="483" spans="21:28" ht="13">
      <c r="U483" s="20"/>
      <c r="V483" s="20"/>
      <c r="AB483" s="21"/>
    </row>
    <row r="484" spans="21:28" ht="13">
      <c r="U484" s="20"/>
      <c r="V484" s="20"/>
      <c r="AB484" s="21"/>
    </row>
    <row r="485" spans="21:28" ht="13">
      <c r="U485" s="20"/>
      <c r="V485" s="20"/>
      <c r="AB485" s="21"/>
    </row>
    <row r="486" spans="21:28" ht="13">
      <c r="U486" s="20"/>
      <c r="V486" s="20"/>
      <c r="AB486" s="21"/>
    </row>
    <row r="487" spans="21:28" ht="13">
      <c r="U487" s="20"/>
      <c r="V487" s="20"/>
      <c r="AB487" s="21"/>
    </row>
    <row r="488" spans="21:28" ht="13">
      <c r="U488" s="20"/>
      <c r="V488" s="20"/>
      <c r="AB488" s="21"/>
    </row>
    <row r="489" spans="21:28" ht="13">
      <c r="U489" s="20"/>
      <c r="V489" s="20"/>
      <c r="AB489" s="21"/>
    </row>
    <row r="490" spans="21:28" ht="13">
      <c r="U490" s="20"/>
      <c r="V490" s="20"/>
      <c r="AB490" s="21"/>
    </row>
    <row r="491" spans="21:28" ht="13">
      <c r="U491" s="20"/>
      <c r="V491" s="20"/>
      <c r="AB491" s="21"/>
    </row>
    <row r="492" spans="21:28" ht="13">
      <c r="U492" s="20"/>
      <c r="V492" s="20"/>
      <c r="AB492" s="21"/>
    </row>
    <row r="493" spans="21:28" ht="13">
      <c r="U493" s="20"/>
      <c r="V493" s="20"/>
      <c r="AB493" s="21"/>
    </row>
    <row r="494" spans="21:28" ht="13">
      <c r="U494" s="20"/>
      <c r="V494" s="20"/>
      <c r="AB494" s="21"/>
    </row>
    <row r="495" spans="21:28" ht="13">
      <c r="U495" s="20"/>
      <c r="V495" s="20"/>
      <c r="AB495" s="21"/>
    </row>
    <row r="496" spans="21:28" ht="13">
      <c r="U496" s="20"/>
      <c r="V496" s="20"/>
      <c r="AB496" s="21"/>
    </row>
    <row r="497" spans="21:28" ht="13">
      <c r="U497" s="20"/>
      <c r="V497" s="20"/>
      <c r="AB497" s="21"/>
    </row>
    <row r="498" spans="21:28" ht="13">
      <c r="U498" s="20"/>
      <c r="V498" s="20"/>
      <c r="AB498" s="21"/>
    </row>
    <row r="499" spans="21:28" ht="13">
      <c r="U499" s="20"/>
      <c r="V499" s="20"/>
      <c r="AB499" s="21"/>
    </row>
    <row r="500" spans="21:28" ht="13">
      <c r="U500" s="20"/>
      <c r="V500" s="20"/>
      <c r="AB500" s="21"/>
    </row>
    <row r="501" spans="21:28" ht="13">
      <c r="U501" s="20"/>
      <c r="V501" s="20"/>
      <c r="AB501" s="21"/>
    </row>
    <row r="502" spans="21:28" ht="13">
      <c r="U502" s="20"/>
      <c r="V502" s="20"/>
      <c r="AB502" s="21"/>
    </row>
    <row r="503" spans="21:28" ht="13">
      <c r="U503" s="20"/>
      <c r="V503" s="20"/>
      <c r="AB503" s="21"/>
    </row>
    <row r="504" spans="21:28" ht="13">
      <c r="U504" s="20"/>
      <c r="V504" s="20"/>
      <c r="AB504" s="21"/>
    </row>
    <row r="505" spans="21:28" ht="13">
      <c r="U505" s="20"/>
      <c r="V505" s="20"/>
      <c r="AB505" s="21"/>
    </row>
    <row r="506" spans="21:28" ht="13">
      <c r="U506" s="20"/>
      <c r="V506" s="20"/>
      <c r="AB506" s="21"/>
    </row>
    <row r="507" spans="21:28" ht="13">
      <c r="U507" s="20"/>
      <c r="V507" s="20"/>
      <c r="AB507" s="21"/>
    </row>
    <row r="508" spans="21:28" ht="13">
      <c r="U508" s="20"/>
      <c r="V508" s="20"/>
      <c r="AB508" s="21"/>
    </row>
    <row r="509" spans="21:28" ht="13">
      <c r="U509" s="20"/>
      <c r="V509" s="20"/>
      <c r="AB509" s="21"/>
    </row>
    <row r="510" spans="21:28" ht="13">
      <c r="U510" s="20"/>
      <c r="V510" s="20"/>
      <c r="AB510" s="21"/>
    </row>
    <row r="511" spans="21:28" ht="13">
      <c r="U511" s="20"/>
      <c r="V511" s="20"/>
      <c r="AB511" s="21"/>
    </row>
    <row r="512" spans="21:28" ht="13">
      <c r="U512" s="20"/>
      <c r="V512" s="20"/>
      <c r="AB512" s="21"/>
    </row>
    <row r="513" spans="21:28" ht="13">
      <c r="U513" s="20"/>
      <c r="V513" s="20"/>
      <c r="AB513" s="21"/>
    </row>
    <row r="514" spans="21:28" ht="13">
      <c r="U514" s="20"/>
      <c r="V514" s="20"/>
      <c r="AB514" s="21"/>
    </row>
    <row r="515" spans="21:28" ht="13">
      <c r="U515" s="20"/>
      <c r="V515" s="20"/>
      <c r="AB515" s="21"/>
    </row>
    <row r="516" spans="21:28" ht="13">
      <c r="U516" s="20"/>
      <c r="V516" s="20"/>
      <c r="AB516" s="21"/>
    </row>
    <row r="517" spans="21:28" ht="13">
      <c r="U517" s="20"/>
      <c r="V517" s="20"/>
      <c r="AB517" s="21"/>
    </row>
    <row r="518" spans="21:28" ht="13">
      <c r="U518" s="20"/>
      <c r="V518" s="20"/>
      <c r="AB518" s="21"/>
    </row>
    <row r="519" spans="21:28" ht="13">
      <c r="U519" s="20"/>
      <c r="V519" s="20"/>
      <c r="AB519" s="21"/>
    </row>
    <row r="520" spans="21:28" ht="13">
      <c r="U520" s="20"/>
      <c r="V520" s="20"/>
      <c r="AB520" s="21"/>
    </row>
    <row r="521" spans="21:28" ht="13">
      <c r="U521" s="20"/>
      <c r="V521" s="20"/>
      <c r="AB521" s="21"/>
    </row>
    <row r="522" spans="21:28" ht="13">
      <c r="U522" s="20"/>
      <c r="V522" s="20"/>
      <c r="AB522" s="21"/>
    </row>
    <row r="523" spans="21:28" ht="13">
      <c r="U523" s="20"/>
      <c r="V523" s="20"/>
      <c r="AB523" s="21"/>
    </row>
    <row r="524" spans="21:28" ht="13">
      <c r="U524" s="20"/>
      <c r="V524" s="20"/>
      <c r="AB524" s="21"/>
    </row>
    <row r="525" spans="21:28" ht="13">
      <c r="U525" s="20"/>
      <c r="V525" s="20"/>
      <c r="AB525" s="21"/>
    </row>
    <row r="526" spans="21:28" ht="13">
      <c r="U526" s="20"/>
      <c r="V526" s="20"/>
      <c r="AB526" s="21"/>
    </row>
    <row r="527" spans="21:28" ht="13">
      <c r="U527" s="20"/>
      <c r="V527" s="20"/>
      <c r="AB527" s="21"/>
    </row>
    <row r="528" spans="21:28" ht="13">
      <c r="U528" s="20"/>
      <c r="V528" s="20"/>
      <c r="AB528" s="21"/>
    </row>
    <row r="529" spans="21:28" ht="13">
      <c r="U529" s="20"/>
      <c r="V529" s="20"/>
      <c r="AB529" s="21"/>
    </row>
    <row r="530" spans="21:28" ht="13">
      <c r="U530" s="20"/>
      <c r="V530" s="20"/>
      <c r="AB530" s="21"/>
    </row>
    <row r="531" spans="21:28" ht="13">
      <c r="U531" s="20"/>
      <c r="V531" s="20"/>
      <c r="AB531" s="21"/>
    </row>
    <row r="532" spans="21:28" ht="13">
      <c r="U532" s="20"/>
      <c r="V532" s="20"/>
      <c r="AB532" s="21"/>
    </row>
    <row r="533" spans="21:28" ht="13">
      <c r="U533" s="20"/>
      <c r="V533" s="20"/>
      <c r="AB533" s="21"/>
    </row>
    <row r="534" spans="21:28" ht="13">
      <c r="U534" s="20"/>
      <c r="V534" s="20"/>
      <c r="AB534" s="21"/>
    </row>
    <row r="535" spans="21:28" ht="13">
      <c r="U535" s="20"/>
      <c r="V535" s="20"/>
      <c r="AB535" s="21"/>
    </row>
    <row r="536" spans="21:28" ht="13">
      <c r="U536" s="20"/>
      <c r="V536" s="20"/>
      <c r="AB536" s="21"/>
    </row>
    <row r="537" spans="21:28" ht="13">
      <c r="U537" s="20"/>
      <c r="V537" s="20"/>
      <c r="AB537" s="21"/>
    </row>
    <row r="538" spans="21:28" ht="13">
      <c r="U538" s="20"/>
      <c r="V538" s="20"/>
      <c r="AB538" s="21"/>
    </row>
    <row r="539" spans="21:28" ht="13">
      <c r="U539" s="20"/>
      <c r="V539" s="20"/>
      <c r="AB539" s="21"/>
    </row>
    <row r="540" spans="21:28" ht="13">
      <c r="U540" s="20"/>
      <c r="V540" s="20"/>
      <c r="AB540" s="21"/>
    </row>
    <row r="541" spans="21:28" ht="13">
      <c r="U541" s="20"/>
      <c r="V541" s="20"/>
      <c r="AB541" s="21"/>
    </row>
    <row r="542" spans="21:28" ht="13">
      <c r="U542" s="20"/>
      <c r="V542" s="20"/>
      <c r="AB542" s="21"/>
    </row>
    <row r="543" spans="21:28" ht="13">
      <c r="U543" s="20"/>
      <c r="V543" s="20"/>
      <c r="AB543" s="21"/>
    </row>
    <row r="544" spans="21:28" ht="13">
      <c r="U544" s="20"/>
      <c r="V544" s="20"/>
      <c r="AB544" s="21"/>
    </row>
    <row r="545" spans="21:28" ht="13">
      <c r="U545" s="20"/>
      <c r="V545" s="20"/>
      <c r="AB545" s="21"/>
    </row>
    <row r="546" spans="21:28" ht="13">
      <c r="U546" s="20"/>
      <c r="V546" s="20"/>
      <c r="AB546" s="21"/>
    </row>
    <row r="547" spans="21:28" ht="13">
      <c r="U547" s="20"/>
      <c r="V547" s="20"/>
      <c r="AB547" s="21"/>
    </row>
    <row r="548" spans="21:28" ht="13">
      <c r="U548" s="20"/>
      <c r="V548" s="20"/>
      <c r="AB548" s="21"/>
    </row>
    <row r="549" spans="21:28" ht="13">
      <c r="U549" s="20"/>
      <c r="V549" s="20"/>
      <c r="AB549" s="21"/>
    </row>
    <row r="550" spans="21:28" ht="13">
      <c r="U550" s="20"/>
      <c r="V550" s="20"/>
      <c r="AB550" s="21"/>
    </row>
    <row r="551" spans="21:28" ht="13">
      <c r="U551" s="20"/>
      <c r="V551" s="20"/>
      <c r="AB551" s="21"/>
    </row>
    <row r="552" spans="21:28" ht="13">
      <c r="U552" s="20"/>
      <c r="V552" s="20"/>
      <c r="AB552" s="21"/>
    </row>
    <row r="553" spans="21:28" ht="13">
      <c r="U553" s="20"/>
      <c r="V553" s="20"/>
      <c r="AB553" s="21"/>
    </row>
    <row r="554" spans="21:28" ht="13">
      <c r="U554" s="20"/>
      <c r="V554" s="20"/>
      <c r="AB554" s="21"/>
    </row>
    <row r="555" spans="21:28" ht="13">
      <c r="U555" s="20"/>
      <c r="V555" s="20"/>
      <c r="AB555" s="21"/>
    </row>
    <row r="556" spans="21:28" ht="13">
      <c r="U556" s="20"/>
      <c r="V556" s="20"/>
      <c r="AB556" s="21"/>
    </row>
    <row r="557" spans="21:28" ht="13">
      <c r="U557" s="20"/>
      <c r="V557" s="20"/>
      <c r="AB557" s="21"/>
    </row>
    <row r="558" spans="21:28" ht="13">
      <c r="U558" s="20"/>
      <c r="V558" s="20"/>
      <c r="AB558" s="21"/>
    </row>
    <row r="559" spans="21:28" ht="13">
      <c r="U559" s="20"/>
      <c r="V559" s="20"/>
      <c r="AB559" s="21"/>
    </row>
    <row r="560" spans="21:28" ht="13">
      <c r="U560" s="20"/>
      <c r="V560" s="20"/>
      <c r="AB560" s="21"/>
    </row>
    <row r="561" spans="21:28" ht="13">
      <c r="U561" s="20"/>
      <c r="V561" s="20"/>
      <c r="AB561" s="21"/>
    </row>
    <row r="562" spans="21:28" ht="13">
      <c r="U562" s="20"/>
      <c r="V562" s="20"/>
      <c r="AB562" s="21"/>
    </row>
    <row r="563" spans="21:28" ht="13">
      <c r="U563" s="20"/>
      <c r="V563" s="20"/>
      <c r="AB563" s="21"/>
    </row>
    <row r="564" spans="21:28" ht="13">
      <c r="U564" s="20"/>
      <c r="V564" s="20"/>
      <c r="AB564" s="21"/>
    </row>
    <row r="565" spans="21:28" ht="13">
      <c r="U565" s="20"/>
      <c r="V565" s="20"/>
      <c r="AB565" s="21"/>
    </row>
    <row r="566" spans="21:28" ht="13">
      <c r="U566" s="20"/>
      <c r="V566" s="20"/>
      <c r="AB566" s="21"/>
    </row>
    <row r="567" spans="21:28" ht="13">
      <c r="U567" s="20"/>
      <c r="V567" s="20"/>
      <c r="AB567" s="21"/>
    </row>
    <row r="568" spans="21:28" ht="13">
      <c r="U568" s="20"/>
      <c r="V568" s="20"/>
      <c r="AB568" s="21"/>
    </row>
    <row r="569" spans="21:28" ht="13">
      <c r="U569" s="20"/>
      <c r="V569" s="20"/>
      <c r="AB569" s="21"/>
    </row>
    <row r="570" spans="21:28" ht="13">
      <c r="U570" s="20"/>
      <c r="V570" s="20"/>
      <c r="AB570" s="21"/>
    </row>
    <row r="571" spans="21:28" ht="13">
      <c r="U571" s="20"/>
      <c r="V571" s="20"/>
      <c r="AB571" s="21"/>
    </row>
    <row r="572" spans="21:28" ht="13">
      <c r="U572" s="20"/>
      <c r="V572" s="20"/>
      <c r="AB572" s="21"/>
    </row>
    <row r="573" spans="21:28" ht="13">
      <c r="U573" s="20"/>
      <c r="V573" s="20"/>
      <c r="AB573" s="21"/>
    </row>
    <row r="574" spans="21:28" ht="13">
      <c r="U574" s="20"/>
      <c r="V574" s="20"/>
      <c r="AB574" s="21"/>
    </row>
    <row r="575" spans="21:28" ht="13">
      <c r="U575" s="20"/>
      <c r="V575" s="20"/>
      <c r="AB575" s="21"/>
    </row>
    <row r="576" spans="21:28" ht="13">
      <c r="U576" s="20"/>
      <c r="V576" s="20"/>
      <c r="AB576" s="21"/>
    </row>
    <row r="577" spans="21:28" ht="13">
      <c r="U577" s="20"/>
      <c r="V577" s="20"/>
      <c r="AB577" s="21"/>
    </row>
    <row r="578" spans="21:28" ht="13">
      <c r="U578" s="20"/>
      <c r="V578" s="20"/>
      <c r="AB578" s="21"/>
    </row>
    <row r="579" spans="21:28" ht="13">
      <c r="U579" s="20"/>
      <c r="V579" s="20"/>
      <c r="AB579" s="21"/>
    </row>
    <row r="580" spans="21:28" ht="13">
      <c r="U580" s="20"/>
      <c r="V580" s="20"/>
      <c r="AB580" s="21"/>
    </row>
    <row r="581" spans="21:28" ht="13">
      <c r="U581" s="20"/>
      <c r="V581" s="20"/>
      <c r="AB581" s="21"/>
    </row>
    <row r="582" spans="21:28" ht="13">
      <c r="U582" s="20"/>
      <c r="V582" s="20"/>
      <c r="AB582" s="21"/>
    </row>
    <row r="583" spans="21:28" ht="13">
      <c r="U583" s="20"/>
      <c r="V583" s="20"/>
      <c r="AB583" s="21"/>
    </row>
    <row r="584" spans="21:28" ht="13">
      <c r="U584" s="20"/>
      <c r="V584" s="20"/>
      <c r="AB584" s="21"/>
    </row>
    <row r="585" spans="21:28" ht="13">
      <c r="U585" s="20"/>
      <c r="V585" s="20"/>
      <c r="AB585" s="21"/>
    </row>
    <row r="586" spans="21:28" ht="13">
      <c r="U586" s="20"/>
      <c r="V586" s="20"/>
      <c r="AB586" s="21"/>
    </row>
    <row r="587" spans="21:28" ht="13">
      <c r="U587" s="20"/>
      <c r="V587" s="20"/>
      <c r="AB587" s="21"/>
    </row>
    <row r="588" spans="21:28" ht="13">
      <c r="U588" s="20"/>
      <c r="V588" s="20"/>
      <c r="AB588" s="21"/>
    </row>
    <row r="589" spans="21:28" ht="13">
      <c r="U589" s="20"/>
      <c r="V589" s="20"/>
      <c r="AB589" s="21"/>
    </row>
    <row r="590" spans="21:28" ht="13">
      <c r="U590" s="20"/>
      <c r="V590" s="20"/>
      <c r="AB590" s="21"/>
    </row>
    <row r="591" spans="21:28" ht="13">
      <c r="U591" s="20"/>
      <c r="V591" s="20"/>
      <c r="AB591" s="21"/>
    </row>
    <row r="592" spans="21:28" ht="13">
      <c r="U592" s="20"/>
      <c r="V592" s="20"/>
      <c r="AB592" s="21"/>
    </row>
    <row r="593" spans="21:28" ht="13">
      <c r="U593" s="20"/>
      <c r="V593" s="20"/>
      <c r="AB593" s="21"/>
    </row>
    <row r="594" spans="21:28" ht="13">
      <c r="U594" s="20"/>
      <c r="V594" s="20"/>
      <c r="AB594" s="21"/>
    </row>
    <row r="595" spans="21:28" ht="13">
      <c r="U595" s="20"/>
      <c r="V595" s="20"/>
      <c r="AB595" s="21"/>
    </row>
    <row r="596" spans="21:28" ht="13">
      <c r="U596" s="20"/>
      <c r="V596" s="20"/>
      <c r="AB596" s="21"/>
    </row>
    <row r="597" spans="21:28" ht="13">
      <c r="U597" s="20"/>
      <c r="V597" s="20"/>
      <c r="AB597" s="21"/>
    </row>
    <row r="598" spans="21:28" ht="13">
      <c r="U598" s="20"/>
      <c r="V598" s="20"/>
      <c r="AB598" s="21"/>
    </row>
    <row r="599" spans="21:28" ht="13">
      <c r="U599" s="20"/>
      <c r="V599" s="20"/>
      <c r="AB599" s="21"/>
    </row>
    <row r="600" spans="21:28" ht="13">
      <c r="U600" s="20"/>
      <c r="V600" s="20"/>
      <c r="AB600" s="21"/>
    </row>
    <row r="601" spans="21:28" ht="13">
      <c r="U601" s="20"/>
      <c r="V601" s="20"/>
      <c r="AB601" s="21"/>
    </row>
    <row r="602" spans="21:28" ht="13">
      <c r="U602" s="20"/>
      <c r="V602" s="20"/>
      <c r="AB602" s="21"/>
    </row>
    <row r="603" spans="21:28" ht="13">
      <c r="U603" s="20"/>
      <c r="V603" s="20"/>
      <c r="AB603" s="21"/>
    </row>
    <row r="604" spans="21:28" ht="13">
      <c r="U604" s="20"/>
      <c r="V604" s="20"/>
      <c r="AB604" s="21"/>
    </row>
    <row r="605" spans="21:28" ht="13">
      <c r="U605" s="20"/>
      <c r="V605" s="20"/>
      <c r="AB605" s="21"/>
    </row>
    <row r="606" spans="21:28" ht="13">
      <c r="U606" s="20"/>
      <c r="V606" s="20"/>
      <c r="AB606" s="21"/>
    </row>
    <row r="607" spans="21:28" ht="13">
      <c r="U607" s="20"/>
      <c r="V607" s="20"/>
      <c r="AB607" s="21"/>
    </row>
    <row r="608" spans="21:28" ht="13">
      <c r="U608" s="20"/>
      <c r="V608" s="20"/>
      <c r="AB608" s="21"/>
    </row>
    <row r="609" spans="21:28" ht="13">
      <c r="U609" s="20"/>
      <c r="V609" s="20"/>
      <c r="AB609" s="21"/>
    </row>
    <row r="610" spans="21:28" ht="13">
      <c r="U610" s="20"/>
      <c r="V610" s="20"/>
      <c r="AB610" s="21"/>
    </row>
    <row r="611" spans="21:28" ht="13">
      <c r="U611" s="20"/>
      <c r="V611" s="20"/>
      <c r="AB611" s="21"/>
    </row>
    <row r="612" spans="21:28" ht="13">
      <c r="U612" s="20"/>
      <c r="V612" s="20"/>
      <c r="AB612" s="21"/>
    </row>
    <row r="613" spans="21:28" ht="13">
      <c r="U613" s="20"/>
      <c r="V613" s="20"/>
      <c r="AB613" s="21"/>
    </row>
    <row r="614" spans="21:28" ht="13">
      <c r="U614" s="20"/>
      <c r="V614" s="20"/>
      <c r="AB614" s="21"/>
    </row>
    <row r="615" spans="21:28" ht="13">
      <c r="U615" s="20"/>
      <c r="V615" s="20"/>
      <c r="AB615" s="21"/>
    </row>
    <row r="616" spans="21:28" ht="13">
      <c r="U616" s="20"/>
      <c r="V616" s="20"/>
      <c r="AB616" s="21"/>
    </row>
    <row r="617" spans="21:28" ht="13">
      <c r="U617" s="20"/>
      <c r="V617" s="20"/>
      <c r="AB617" s="21"/>
    </row>
    <row r="618" spans="21:28" ht="13">
      <c r="U618" s="20"/>
      <c r="V618" s="20"/>
      <c r="AB618" s="21"/>
    </row>
    <row r="619" spans="21:28" ht="13">
      <c r="U619" s="20"/>
      <c r="V619" s="20"/>
      <c r="AB619" s="21"/>
    </row>
    <row r="620" spans="21:28" ht="13">
      <c r="U620" s="20"/>
      <c r="V620" s="20"/>
      <c r="AB620" s="21"/>
    </row>
    <row r="621" spans="21:28" ht="13">
      <c r="U621" s="20"/>
      <c r="V621" s="20"/>
      <c r="AB621" s="21"/>
    </row>
    <row r="622" spans="21:28" ht="13">
      <c r="U622" s="20"/>
      <c r="V622" s="20"/>
      <c r="AB622" s="21"/>
    </row>
    <row r="623" spans="21:28" ht="13">
      <c r="U623" s="20"/>
      <c r="V623" s="20"/>
      <c r="AB623" s="21"/>
    </row>
    <row r="624" spans="21:28" ht="13">
      <c r="U624" s="20"/>
      <c r="V624" s="20"/>
      <c r="AB624" s="21"/>
    </row>
    <row r="625" spans="21:28" ht="13">
      <c r="U625" s="20"/>
      <c r="V625" s="20"/>
      <c r="AB625" s="21"/>
    </row>
    <row r="626" spans="21:28" ht="13">
      <c r="U626" s="20"/>
      <c r="V626" s="20"/>
      <c r="AB626" s="21"/>
    </row>
    <row r="627" spans="21:28" ht="13">
      <c r="U627" s="20"/>
      <c r="V627" s="20"/>
      <c r="AB627" s="21"/>
    </row>
    <row r="628" spans="21:28" ht="13">
      <c r="U628" s="20"/>
      <c r="V628" s="20"/>
      <c r="AB628" s="21"/>
    </row>
    <row r="629" spans="21:28" ht="13">
      <c r="U629" s="20"/>
      <c r="V629" s="20"/>
      <c r="AB629" s="21"/>
    </row>
    <row r="630" spans="21:28" ht="13">
      <c r="U630" s="20"/>
      <c r="V630" s="20"/>
      <c r="AB630" s="21"/>
    </row>
    <row r="631" spans="21:28" ht="13">
      <c r="U631" s="20"/>
      <c r="V631" s="20"/>
      <c r="AB631" s="21"/>
    </row>
    <row r="632" spans="21:28" ht="13">
      <c r="U632" s="20"/>
      <c r="V632" s="20"/>
      <c r="AB632" s="21"/>
    </row>
    <row r="633" spans="21:28" ht="13">
      <c r="U633" s="20"/>
      <c r="V633" s="20"/>
      <c r="AB633" s="21"/>
    </row>
    <row r="634" spans="21:28" ht="13">
      <c r="U634" s="20"/>
      <c r="V634" s="20"/>
      <c r="AB634" s="21"/>
    </row>
    <row r="635" spans="21:28" ht="13">
      <c r="U635" s="20"/>
      <c r="V635" s="20"/>
      <c r="AB635" s="21"/>
    </row>
    <row r="636" spans="21:28" ht="13">
      <c r="U636" s="20"/>
      <c r="V636" s="20"/>
      <c r="AB636" s="21"/>
    </row>
    <row r="637" spans="21:28" ht="13">
      <c r="U637" s="20"/>
      <c r="V637" s="20"/>
      <c r="AB637" s="21"/>
    </row>
    <row r="638" spans="21:28" ht="13">
      <c r="U638" s="20"/>
      <c r="V638" s="20"/>
      <c r="AB638" s="21"/>
    </row>
    <row r="639" spans="21:28" ht="13">
      <c r="U639" s="20"/>
      <c r="V639" s="20"/>
      <c r="AB639" s="21"/>
    </row>
    <row r="640" spans="21:28" ht="13">
      <c r="U640" s="20"/>
      <c r="V640" s="20"/>
      <c r="AB640" s="21"/>
    </row>
    <row r="641" spans="21:28" ht="13">
      <c r="U641" s="20"/>
      <c r="V641" s="20"/>
      <c r="AB641" s="21"/>
    </row>
    <row r="642" spans="21:28" ht="13">
      <c r="U642" s="20"/>
      <c r="V642" s="20"/>
      <c r="AB642" s="21"/>
    </row>
    <row r="643" spans="21:28" ht="13">
      <c r="U643" s="20"/>
      <c r="V643" s="20"/>
      <c r="AB643" s="21"/>
    </row>
    <row r="644" spans="21:28" ht="13">
      <c r="U644" s="20"/>
      <c r="V644" s="20"/>
      <c r="AB644" s="21"/>
    </row>
    <row r="645" spans="21:28" ht="13">
      <c r="U645" s="20"/>
      <c r="V645" s="20"/>
      <c r="AB645" s="21"/>
    </row>
    <row r="646" spans="21:28" ht="13">
      <c r="U646" s="20"/>
      <c r="V646" s="20"/>
      <c r="AB646" s="21"/>
    </row>
    <row r="647" spans="21:28" ht="13">
      <c r="U647" s="20"/>
      <c r="V647" s="20"/>
      <c r="AB647" s="21"/>
    </row>
    <row r="648" spans="21:28" ht="13">
      <c r="U648" s="20"/>
      <c r="V648" s="20"/>
      <c r="AB648" s="21"/>
    </row>
    <row r="649" spans="21:28" ht="13">
      <c r="U649" s="20"/>
      <c r="V649" s="20"/>
      <c r="AB649" s="21"/>
    </row>
    <row r="650" spans="21:28" ht="13">
      <c r="U650" s="20"/>
      <c r="V650" s="20"/>
      <c r="AB650" s="21"/>
    </row>
    <row r="651" spans="21:28" ht="13">
      <c r="U651" s="20"/>
      <c r="V651" s="20"/>
      <c r="AB651" s="21"/>
    </row>
    <row r="652" spans="21:28" ht="13">
      <c r="U652" s="20"/>
      <c r="V652" s="20"/>
      <c r="AB652" s="21"/>
    </row>
    <row r="653" spans="21:28" ht="13">
      <c r="U653" s="20"/>
      <c r="V653" s="20"/>
      <c r="AB653" s="21"/>
    </row>
    <row r="654" spans="21:28" ht="13">
      <c r="U654" s="20"/>
      <c r="V654" s="20"/>
      <c r="AB654" s="21"/>
    </row>
    <row r="655" spans="21:28" ht="13">
      <c r="U655" s="20"/>
      <c r="V655" s="20"/>
      <c r="AB655" s="21"/>
    </row>
    <row r="656" spans="21:28" ht="13">
      <c r="U656" s="20"/>
      <c r="V656" s="20"/>
      <c r="AB656" s="21"/>
    </row>
    <row r="657" spans="21:28" ht="13">
      <c r="U657" s="20"/>
      <c r="V657" s="20"/>
      <c r="AB657" s="21"/>
    </row>
    <row r="658" spans="21:28" ht="13">
      <c r="U658" s="20"/>
      <c r="V658" s="20"/>
      <c r="AB658" s="21"/>
    </row>
    <row r="659" spans="21:28" ht="13">
      <c r="U659" s="20"/>
      <c r="V659" s="20"/>
      <c r="AB659" s="21"/>
    </row>
    <row r="660" spans="21:28" ht="13">
      <c r="U660" s="20"/>
      <c r="V660" s="20"/>
      <c r="AB660" s="21"/>
    </row>
    <row r="661" spans="21:28" ht="13">
      <c r="U661" s="20"/>
      <c r="V661" s="20"/>
      <c r="AB661" s="21"/>
    </row>
    <row r="662" spans="21:28" ht="13">
      <c r="U662" s="20"/>
      <c r="V662" s="20"/>
      <c r="AB662" s="21"/>
    </row>
    <row r="663" spans="21:28" ht="13">
      <c r="U663" s="20"/>
      <c r="V663" s="20"/>
      <c r="AB663" s="21"/>
    </row>
    <row r="664" spans="21:28" ht="13">
      <c r="U664" s="20"/>
      <c r="V664" s="20"/>
      <c r="AB664" s="21"/>
    </row>
    <row r="665" spans="21:28" ht="13">
      <c r="U665" s="20"/>
      <c r="V665" s="20"/>
      <c r="AB665" s="21"/>
    </row>
    <row r="666" spans="21:28" ht="13">
      <c r="U666" s="20"/>
      <c r="V666" s="20"/>
      <c r="AB666" s="21"/>
    </row>
    <row r="667" spans="21:28" ht="13">
      <c r="U667" s="20"/>
      <c r="V667" s="20"/>
      <c r="AB667" s="21"/>
    </row>
    <row r="668" spans="21:28" ht="13">
      <c r="U668" s="20"/>
      <c r="V668" s="20"/>
      <c r="AB668" s="21"/>
    </row>
    <row r="669" spans="21:28" ht="13">
      <c r="U669" s="20"/>
      <c r="V669" s="20"/>
      <c r="AB669" s="21"/>
    </row>
    <row r="670" spans="21:28" ht="13">
      <c r="U670" s="20"/>
      <c r="V670" s="20"/>
      <c r="AB670" s="21"/>
    </row>
    <row r="671" spans="21:28" ht="13">
      <c r="U671" s="20"/>
      <c r="V671" s="20"/>
      <c r="AB671" s="21"/>
    </row>
    <row r="672" spans="21:28" ht="13">
      <c r="U672" s="20"/>
      <c r="V672" s="20"/>
      <c r="AB672" s="21"/>
    </row>
    <row r="673" spans="21:28" ht="13">
      <c r="U673" s="20"/>
      <c r="V673" s="20"/>
      <c r="AB673" s="21"/>
    </row>
    <row r="674" spans="21:28" ht="13">
      <c r="U674" s="20"/>
      <c r="V674" s="20"/>
      <c r="AB674" s="21"/>
    </row>
    <row r="675" spans="21:28" ht="13">
      <c r="U675" s="20"/>
      <c r="V675" s="20"/>
      <c r="AB675" s="21"/>
    </row>
    <row r="676" spans="21:28" ht="13">
      <c r="U676" s="20"/>
      <c r="V676" s="20"/>
      <c r="AB676" s="21"/>
    </row>
    <row r="677" spans="21:28" ht="13">
      <c r="U677" s="20"/>
      <c r="V677" s="20"/>
      <c r="AB677" s="21"/>
    </row>
    <row r="678" spans="21:28" ht="13">
      <c r="U678" s="20"/>
      <c r="V678" s="20"/>
      <c r="AB678" s="21"/>
    </row>
    <row r="679" spans="21:28" ht="13">
      <c r="U679" s="20"/>
      <c r="V679" s="20"/>
      <c r="AB679" s="21"/>
    </row>
    <row r="680" spans="21:28" ht="13">
      <c r="U680" s="20"/>
      <c r="V680" s="20"/>
      <c r="AB680" s="21"/>
    </row>
    <row r="681" spans="21:28" ht="13">
      <c r="U681" s="20"/>
      <c r="V681" s="20"/>
      <c r="AB681" s="21"/>
    </row>
    <row r="682" spans="21:28" ht="13">
      <c r="U682" s="20"/>
      <c r="V682" s="20"/>
      <c r="AB682" s="21"/>
    </row>
    <row r="683" spans="21:28" ht="13">
      <c r="U683" s="20"/>
      <c r="V683" s="20"/>
      <c r="AB683" s="21"/>
    </row>
    <row r="684" spans="21:28" ht="13">
      <c r="U684" s="20"/>
      <c r="V684" s="20"/>
      <c r="AB684" s="21"/>
    </row>
    <row r="685" spans="21:28" ht="13">
      <c r="U685" s="20"/>
      <c r="V685" s="20"/>
      <c r="AB685" s="21"/>
    </row>
    <row r="686" spans="21:28" ht="13">
      <c r="U686" s="20"/>
      <c r="V686" s="20"/>
      <c r="AB686" s="21"/>
    </row>
    <row r="687" spans="21:28" ht="13">
      <c r="U687" s="20"/>
      <c r="V687" s="20"/>
      <c r="AB687" s="21"/>
    </row>
    <row r="688" spans="21:28" ht="13">
      <c r="U688" s="20"/>
      <c r="V688" s="20"/>
      <c r="AB688" s="21"/>
    </row>
    <row r="689" spans="21:28" ht="13">
      <c r="U689" s="20"/>
      <c r="V689" s="20"/>
      <c r="AB689" s="21"/>
    </row>
    <row r="690" spans="21:28" ht="13">
      <c r="U690" s="20"/>
      <c r="V690" s="20"/>
      <c r="AB690" s="21"/>
    </row>
    <row r="691" spans="21:28" ht="13">
      <c r="U691" s="20"/>
      <c r="V691" s="20"/>
      <c r="AB691" s="21"/>
    </row>
    <row r="692" spans="21:28" ht="13">
      <c r="U692" s="20"/>
      <c r="V692" s="20"/>
      <c r="AB692" s="21"/>
    </row>
    <row r="693" spans="21:28" ht="13">
      <c r="U693" s="20"/>
      <c r="V693" s="20"/>
      <c r="AB693" s="21"/>
    </row>
    <row r="694" spans="21:28" ht="13">
      <c r="U694" s="20"/>
      <c r="V694" s="20"/>
      <c r="AB694" s="21"/>
    </row>
    <row r="695" spans="21:28" ht="13">
      <c r="U695" s="20"/>
      <c r="V695" s="20"/>
      <c r="AB695" s="21"/>
    </row>
    <row r="696" spans="21:28" ht="13">
      <c r="U696" s="20"/>
      <c r="V696" s="20"/>
      <c r="AB696" s="21"/>
    </row>
    <row r="697" spans="21:28" ht="13">
      <c r="U697" s="20"/>
      <c r="V697" s="20"/>
      <c r="AB697" s="21"/>
    </row>
    <row r="698" spans="21:28" ht="13">
      <c r="U698" s="20"/>
      <c r="V698" s="20"/>
      <c r="AB698" s="21"/>
    </row>
    <row r="699" spans="21:28" ht="13">
      <c r="U699" s="20"/>
      <c r="V699" s="20"/>
      <c r="AB699" s="21"/>
    </row>
    <row r="700" spans="21:28" ht="13">
      <c r="U700" s="20"/>
      <c r="V700" s="20"/>
      <c r="AB700" s="21"/>
    </row>
    <row r="701" spans="21:28" ht="13">
      <c r="U701" s="20"/>
      <c r="V701" s="20"/>
      <c r="AB701" s="21"/>
    </row>
    <row r="702" spans="21:28" ht="13">
      <c r="U702" s="20"/>
      <c r="V702" s="20"/>
      <c r="AB702" s="21"/>
    </row>
    <row r="703" spans="21:28" ht="13">
      <c r="U703" s="20"/>
      <c r="V703" s="20"/>
      <c r="AB703" s="21"/>
    </row>
    <row r="704" spans="21:28" ht="13">
      <c r="U704" s="20"/>
      <c r="V704" s="20"/>
      <c r="AB704" s="21"/>
    </row>
    <row r="705" spans="21:28" ht="13">
      <c r="U705" s="20"/>
      <c r="V705" s="20"/>
      <c r="AB705" s="21"/>
    </row>
    <row r="706" spans="21:28" ht="13">
      <c r="U706" s="20"/>
      <c r="V706" s="20"/>
      <c r="AB706" s="21"/>
    </row>
    <row r="707" spans="21:28" ht="13">
      <c r="U707" s="20"/>
      <c r="V707" s="20"/>
      <c r="AB707" s="21"/>
    </row>
    <row r="708" spans="21:28" ht="13">
      <c r="U708" s="20"/>
      <c r="V708" s="20"/>
      <c r="AB708" s="21"/>
    </row>
    <row r="709" spans="21:28" ht="13">
      <c r="U709" s="20"/>
      <c r="V709" s="20"/>
      <c r="AB709" s="21"/>
    </row>
    <row r="710" spans="21:28" ht="13">
      <c r="U710" s="20"/>
      <c r="V710" s="20"/>
      <c r="AB710" s="21"/>
    </row>
    <row r="711" spans="21:28" ht="13">
      <c r="U711" s="20"/>
      <c r="V711" s="20"/>
      <c r="AB711" s="21"/>
    </row>
    <row r="712" spans="21:28" ht="13">
      <c r="U712" s="20"/>
      <c r="V712" s="20"/>
      <c r="AB712" s="21"/>
    </row>
    <row r="713" spans="21:28" ht="13">
      <c r="U713" s="20"/>
      <c r="V713" s="20"/>
      <c r="AB713" s="21"/>
    </row>
    <row r="714" spans="21:28" ht="13">
      <c r="U714" s="20"/>
      <c r="V714" s="20"/>
      <c r="AB714" s="21"/>
    </row>
    <row r="715" spans="21:28" ht="13">
      <c r="U715" s="20"/>
      <c r="V715" s="20"/>
      <c r="AB715" s="21"/>
    </row>
    <row r="716" spans="21:28" ht="13">
      <c r="U716" s="20"/>
      <c r="V716" s="20"/>
      <c r="AB716" s="21"/>
    </row>
    <row r="717" spans="21:28" ht="13">
      <c r="U717" s="20"/>
      <c r="V717" s="20"/>
      <c r="AB717" s="21"/>
    </row>
    <row r="718" spans="21:28" ht="13">
      <c r="U718" s="20"/>
      <c r="V718" s="20"/>
      <c r="AB718" s="21"/>
    </row>
    <row r="719" spans="21:28" ht="13">
      <c r="U719" s="20"/>
      <c r="V719" s="20"/>
      <c r="AB719" s="21"/>
    </row>
    <row r="720" spans="21:28" ht="13">
      <c r="U720" s="20"/>
      <c r="V720" s="20"/>
      <c r="AB720" s="21"/>
    </row>
    <row r="721" spans="21:28" ht="13">
      <c r="U721" s="20"/>
      <c r="V721" s="20"/>
      <c r="AB721" s="21"/>
    </row>
    <row r="722" spans="21:28" ht="13">
      <c r="U722" s="20"/>
      <c r="V722" s="20"/>
      <c r="AB722" s="21"/>
    </row>
    <row r="723" spans="21:28" ht="13">
      <c r="U723" s="20"/>
      <c r="V723" s="20"/>
      <c r="AB723" s="21"/>
    </row>
    <row r="724" spans="21:28" ht="13">
      <c r="U724" s="20"/>
      <c r="V724" s="20"/>
      <c r="AB724" s="21"/>
    </row>
    <row r="725" spans="21:28" ht="13">
      <c r="U725" s="20"/>
      <c r="V725" s="20"/>
      <c r="AB725" s="21"/>
    </row>
    <row r="726" spans="21:28" ht="13">
      <c r="U726" s="20"/>
      <c r="V726" s="20"/>
      <c r="AB726" s="21"/>
    </row>
    <row r="727" spans="21:28" ht="13">
      <c r="U727" s="20"/>
      <c r="V727" s="20"/>
      <c r="AB727" s="21"/>
    </row>
    <row r="728" spans="21:28" ht="13">
      <c r="U728" s="20"/>
      <c r="V728" s="20"/>
      <c r="AB728" s="21"/>
    </row>
    <row r="729" spans="21:28" ht="13">
      <c r="U729" s="20"/>
      <c r="V729" s="20"/>
      <c r="AB729" s="21"/>
    </row>
    <row r="730" spans="21:28" ht="13">
      <c r="U730" s="20"/>
      <c r="V730" s="20"/>
      <c r="AB730" s="21"/>
    </row>
    <row r="731" spans="21:28" ht="13">
      <c r="U731" s="20"/>
      <c r="V731" s="20"/>
      <c r="AB731" s="21"/>
    </row>
    <row r="732" spans="21:28" ht="13">
      <c r="U732" s="20"/>
      <c r="V732" s="20"/>
      <c r="AB732" s="21"/>
    </row>
    <row r="733" spans="21:28" ht="13">
      <c r="U733" s="20"/>
      <c r="V733" s="20"/>
      <c r="AB733" s="21"/>
    </row>
    <row r="734" spans="21:28" ht="13">
      <c r="U734" s="20"/>
      <c r="V734" s="20"/>
      <c r="AB734" s="21"/>
    </row>
    <row r="735" spans="21:28" ht="13">
      <c r="U735" s="20"/>
      <c r="V735" s="20"/>
      <c r="AB735" s="21"/>
    </row>
    <row r="736" spans="21:28" ht="13">
      <c r="U736" s="20"/>
      <c r="V736" s="20"/>
      <c r="AB736" s="21"/>
    </row>
    <row r="737" spans="21:28" ht="13">
      <c r="U737" s="20"/>
      <c r="V737" s="20"/>
      <c r="AB737" s="21"/>
    </row>
    <row r="738" spans="21:28" ht="13">
      <c r="U738" s="20"/>
      <c r="V738" s="20"/>
      <c r="AB738" s="21"/>
    </row>
    <row r="739" spans="21:28" ht="13">
      <c r="U739" s="20"/>
      <c r="V739" s="20"/>
      <c r="AB739" s="21"/>
    </row>
    <row r="740" spans="21:28" ht="13">
      <c r="U740" s="20"/>
      <c r="V740" s="20"/>
      <c r="AB740" s="21"/>
    </row>
    <row r="741" spans="21:28" ht="13">
      <c r="U741" s="20"/>
      <c r="V741" s="20"/>
      <c r="AB741" s="21"/>
    </row>
    <row r="742" spans="21:28" ht="13">
      <c r="U742" s="20"/>
      <c r="V742" s="20"/>
      <c r="AB742" s="21"/>
    </row>
    <row r="743" spans="21:28" ht="13">
      <c r="U743" s="20"/>
      <c r="V743" s="20"/>
      <c r="AB743" s="21"/>
    </row>
    <row r="744" spans="21:28" ht="13">
      <c r="U744" s="20"/>
      <c r="V744" s="20"/>
      <c r="AB744" s="21"/>
    </row>
    <row r="745" spans="21:28" ht="13">
      <c r="U745" s="20"/>
      <c r="V745" s="20"/>
      <c r="AB745" s="21"/>
    </row>
    <row r="746" spans="21:28" ht="13">
      <c r="U746" s="20"/>
      <c r="V746" s="20"/>
      <c r="AB746" s="21"/>
    </row>
    <row r="747" spans="21:28" ht="13">
      <c r="U747" s="20"/>
      <c r="V747" s="20"/>
      <c r="AB747" s="21"/>
    </row>
    <row r="748" spans="21:28" ht="13">
      <c r="U748" s="20"/>
      <c r="V748" s="20"/>
      <c r="AB748" s="21"/>
    </row>
    <row r="749" spans="21:28" ht="13">
      <c r="U749" s="20"/>
      <c r="V749" s="20"/>
      <c r="AB749" s="21"/>
    </row>
    <row r="750" spans="21:28" ht="13">
      <c r="U750" s="20"/>
      <c r="V750" s="20"/>
      <c r="AB750" s="21"/>
    </row>
    <row r="751" spans="21:28" ht="13">
      <c r="U751" s="20"/>
      <c r="V751" s="20"/>
      <c r="AB751" s="21"/>
    </row>
    <row r="752" spans="21:28" ht="13">
      <c r="U752" s="20"/>
      <c r="V752" s="20"/>
      <c r="AB752" s="21"/>
    </row>
    <row r="753" spans="21:28" ht="13">
      <c r="U753" s="20"/>
      <c r="V753" s="20"/>
      <c r="AB753" s="21"/>
    </row>
    <row r="754" spans="21:28" ht="13">
      <c r="U754" s="20"/>
      <c r="V754" s="20"/>
      <c r="AB754" s="21"/>
    </row>
    <row r="755" spans="21:28" ht="13">
      <c r="U755" s="20"/>
      <c r="V755" s="20"/>
      <c r="AB755" s="21"/>
    </row>
    <row r="756" spans="21:28" ht="13">
      <c r="U756" s="20"/>
      <c r="V756" s="20"/>
      <c r="AB756" s="21"/>
    </row>
    <row r="757" spans="21:28" ht="13">
      <c r="U757" s="20"/>
      <c r="V757" s="20"/>
      <c r="AB757" s="21"/>
    </row>
    <row r="758" spans="21:28" ht="13">
      <c r="U758" s="20"/>
      <c r="V758" s="20"/>
      <c r="AB758" s="21"/>
    </row>
    <row r="759" spans="21:28" ht="13">
      <c r="U759" s="20"/>
      <c r="V759" s="20"/>
      <c r="AB759" s="21"/>
    </row>
    <row r="760" spans="21:28" ht="13">
      <c r="U760" s="20"/>
      <c r="V760" s="20"/>
      <c r="AB760" s="21"/>
    </row>
    <row r="761" spans="21:28" ht="13">
      <c r="U761" s="20"/>
      <c r="V761" s="20"/>
      <c r="AB761" s="21"/>
    </row>
    <row r="762" spans="21:28" ht="13">
      <c r="U762" s="20"/>
      <c r="V762" s="20"/>
      <c r="AB762" s="21"/>
    </row>
    <row r="763" spans="21:28" ht="13">
      <c r="U763" s="20"/>
      <c r="V763" s="20"/>
      <c r="AB763" s="21"/>
    </row>
    <row r="764" spans="21:28" ht="13">
      <c r="U764" s="20"/>
      <c r="V764" s="20"/>
      <c r="AB764" s="21"/>
    </row>
    <row r="765" spans="21:28" ht="13">
      <c r="U765" s="20"/>
      <c r="V765" s="20"/>
      <c r="AB765" s="21"/>
    </row>
    <row r="766" spans="21:28" ht="13">
      <c r="U766" s="20"/>
      <c r="V766" s="20"/>
      <c r="AB766" s="21"/>
    </row>
    <row r="767" spans="21:28" ht="13">
      <c r="U767" s="20"/>
      <c r="V767" s="20"/>
      <c r="AB767" s="21"/>
    </row>
    <row r="768" spans="21:28" ht="13">
      <c r="U768" s="20"/>
      <c r="V768" s="20"/>
      <c r="AB768" s="21"/>
    </row>
    <row r="769" spans="21:28" ht="13">
      <c r="U769" s="20"/>
      <c r="V769" s="20"/>
      <c r="AB769" s="21"/>
    </row>
    <row r="770" spans="21:28" ht="13">
      <c r="U770" s="20"/>
      <c r="V770" s="20"/>
      <c r="AB770" s="21"/>
    </row>
    <row r="771" spans="21:28" ht="13">
      <c r="U771" s="20"/>
      <c r="V771" s="20"/>
      <c r="AB771" s="21"/>
    </row>
    <row r="772" spans="21:28" ht="13">
      <c r="U772" s="20"/>
      <c r="V772" s="20"/>
      <c r="AB772" s="21"/>
    </row>
    <row r="773" spans="21:28" ht="13">
      <c r="U773" s="20"/>
      <c r="V773" s="20"/>
      <c r="AB773" s="21"/>
    </row>
    <row r="774" spans="21:28" ht="13">
      <c r="U774" s="20"/>
      <c r="V774" s="20"/>
      <c r="AB774" s="21"/>
    </row>
    <row r="775" spans="21:28" ht="13">
      <c r="U775" s="20"/>
      <c r="V775" s="20"/>
      <c r="AB775" s="21"/>
    </row>
    <row r="776" spans="21:28" ht="13">
      <c r="U776" s="20"/>
      <c r="V776" s="20"/>
      <c r="AB776" s="21"/>
    </row>
    <row r="777" spans="21:28" ht="13">
      <c r="U777" s="20"/>
      <c r="V777" s="20"/>
      <c r="AB777" s="21"/>
    </row>
    <row r="778" spans="21:28" ht="13">
      <c r="U778" s="20"/>
      <c r="V778" s="20"/>
      <c r="AB778" s="21"/>
    </row>
    <row r="779" spans="21:28" ht="13">
      <c r="U779" s="20"/>
      <c r="V779" s="20"/>
      <c r="AB779" s="21"/>
    </row>
    <row r="780" spans="21:28" ht="13">
      <c r="U780" s="20"/>
      <c r="V780" s="20"/>
      <c r="AB780" s="21"/>
    </row>
    <row r="781" spans="21:28" ht="13">
      <c r="U781" s="20"/>
      <c r="V781" s="20"/>
      <c r="AB781" s="21"/>
    </row>
    <row r="782" spans="21:28" ht="13">
      <c r="U782" s="20"/>
      <c r="V782" s="20"/>
      <c r="AB782" s="21"/>
    </row>
    <row r="783" spans="21:28" ht="13">
      <c r="U783" s="20"/>
      <c r="V783" s="20"/>
      <c r="AB783" s="21"/>
    </row>
    <row r="784" spans="21:28" ht="13">
      <c r="U784" s="20"/>
      <c r="V784" s="20"/>
      <c r="AB784" s="21"/>
    </row>
    <row r="785" spans="21:28" ht="13">
      <c r="U785" s="20"/>
      <c r="V785" s="20"/>
      <c r="AB785" s="21"/>
    </row>
    <row r="786" spans="21:28" ht="13">
      <c r="U786" s="20"/>
      <c r="V786" s="20"/>
      <c r="AB786" s="21"/>
    </row>
    <row r="787" spans="21:28" ht="13">
      <c r="U787" s="20"/>
      <c r="V787" s="20"/>
      <c r="AB787" s="21"/>
    </row>
    <row r="788" spans="21:28" ht="13">
      <c r="U788" s="20"/>
      <c r="V788" s="20"/>
      <c r="AB788" s="21"/>
    </row>
    <row r="789" spans="21:28" ht="13">
      <c r="U789" s="20"/>
      <c r="V789" s="20"/>
      <c r="AB789" s="21"/>
    </row>
    <row r="790" spans="21:28" ht="13">
      <c r="U790" s="20"/>
      <c r="V790" s="20"/>
      <c r="AB790" s="21"/>
    </row>
    <row r="791" spans="21:28" ht="13">
      <c r="U791" s="20"/>
      <c r="V791" s="20"/>
      <c r="AB791" s="21"/>
    </row>
    <row r="792" spans="21:28" ht="13">
      <c r="U792" s="20"/>
      <c r="V792" s="20"/>
      <c r="AB792" s="21"/>
    </row>
    <row r="793" spans="21:28" ht="13">
      <c r="U793" s="20"/>
      <c r="V793" s="20"/>
      <c r="AB793" s="21"/>
    </row>
    <row r="794" spans="21:28" ht="13">
      <c r="U794" s="20"/>
      <c r="V794" s="20"/>
      <c r="AB794" s="21"/>
    </row>
    <row r="795" spans="21:28" ht="13">
      <c r="U795" s="20"/>
      <c r="V795" s="20"/>
      <c r="AB795" s="21"/>
    </row>
    <row r="796" spans="21:28" ht="13">
      <c r="U796" s="20"/>
      <c r="V796" s="20"/>
      <c r="AB796" s="21"/>
    </row>
    <row r="797" spans="21:28" ht="13">
      <c r="U797" s="20"/>
      <c r="V797" s="20"/>
      <c r="AB797" s="21"/>
    </row>
    <row r="798" spans="21:28" ht="13">
      <c r="U798" s="20"/>
      <c r="V798" s="20"/>
      <c r="AB798" s="21"/>
    </row>
    <row r="799" spans="21:28" ht="13">
      <c r="U799" s="20"/>
      <c r="V799" s="20"/>
      <c r="AB799" s="21"/>
    </row>
    <row r="800" spans="21:28" ht="13">
      <c r="U800" s="20"/>
      <c r="V800" s="20"/>
      <c r="AB800" s="21"/>
    </row>
    <row r="801" spans="21:28" ht="13">
      <c r="U801" s="20"/>
      <c r="V801" s="20"/>
      <c r="AB801" s="21"/>
    </row>
    <row r="802" spans="21:28" ht="13">
      <c r="U802" s="20"/>
      <c r="V802" s="20"/>
      <c r="AB802" s="21"/>
    </row>
    <row r="803" spans="21:28" ht="13">
      <c r="U803" s="20"/>
      <c r="V803" s="20"/>
      <c r="AB803" s="21"/>
    </row>
    <row r="804" spans="21:28" ht="13">
      <c r="U804" s="20"/>
      <c r="V804" s="20"/>
      <c r="AB804" s="21"/>
    </row>
    <row r="805" spans="21:28" ht="13">
      <c r="U805" s="20"/>
      <c r="V805" s="20"/>
      <c r="AB805" s="21"/>
    </row>
    <row r="806" spans="21:28" ht="13">
      <c r="U806" s="20"/>
      <c r="V806" s="20"/>
      <c r="AB806" s="21"/>
    </row>
    <row r="807" spans="21:28" ht="13">
      <c r="U807" s="20"/>
      <c r="V807" s="20"/>
      <c r="AB807" s="21"/>
    </row>
    <row r="808" spans="21:28" ht="13">
      <c r="U808" s="20"/>
      <c r="V808" s="20"/>
      <c r="AB808" s="21"/>
    </row>
    <row r="809" spans="21:28" ht="13">
      <c r="U809" s="20"/>
      <c r="V809" s="20"/>
      <c r="AB809" s="21"/>
    </row>
    <row r="810" spans="21:28" ht="13">
      <c r="U810" s="20"/>
      <c r="V810" s="20"/>
      <c r="AB810" s="21"/>
    </row>
    <row r="811" spans="21:28" ht="13">
      <c r="U811" s="20"/>
      <c r="V811" s="20"/>
      <c r="AB811" s="21"/>
    </row>
    <row r="812" spans="21:28" ht="13">
      <c r="U812" s="20"/>
      <c r="V812" s="20"/>
      <c r="AB812" s="21"/>
    </row>
    <row r="813" spans="21:28" ht="13">
      <c r="U813" s="20"/>
      <c r="V813" s="20"/>
      <c r="AB813" s="21"/>
    </row>
    <row r="814" spans="21:28" ht="13">
      <c r="U814" s="20"/>
      <c r="V814" s="20"/>
      <c r="AB814" s="21"/>
    </row>
    <row r="815" spans="21:28" ht="13">
      <c r="U815" s="20"/>
      <c r="V815" s="20"/>
      <c r="AB815" s="21"/>
    </row>
    <row r="816" spans="21:28" ht="13">
      <c r="U816" s="20"/>
      <c r="V816" s="20"/>
      <c r="AB816" s="21"/>
    </row>
    <row r="817" spans="21:28" ht="13">
      <c r="U817" s="20"/>
      <c r="V817" s="20"/>
      <c r="AB817" s="21"/>
    </row>
    <row r="818" spans="21:28" ht="13">
      <c r="U818" s="20"/>
      <c r="V818" s="20"/>
      <c r="AB818" s="21"/>
    </row>
    <row r="819" spans="21:28" ht="13">
      <c r="U819" s="20"/>
      <c r="V819" s="20"/>
      <c r="AB819" s="21"/>
    </row>
    <row r="820" spans="21:28" ht="13">
      <c r="U820" s="20"/>
      <c r="V820" s="20"/>
      <c r="AB820" s="21"/>
    </row>
    <row r="821" spans="21:28" ht="13">
      <c r="U821" s="20"/>
      <c r="V821" s="20"/>
      <c r="AB821" s="21"/>
    </row>
    <row r="822" spans="21:28" ht="13">
      <c r="U822" s="20"/>
      <c r="V822" s="20"/>
      <c r="AB822" s="21"/>
    </row>
    <row r="823" spans="21:28" ht="13">
      <c r="U823" s="20"/>
      <c r="V823" s="20"/>
      <c r="AB823" s="21"/>
    </row>
    <row r="824" spans="21:28" ht="13">
      <c r="U824" s="20"/>
      <c r="V824" s="20"/>
      <c r="AB824" s="21"/>
    </row>
    <row r="825" spans="21:28" ht="13">
      <c r="U825" s="20"/>
      <c r="V825" s="20"/>
      <c r="AB825" s="21"/>
    </row>
    <row r="826" spans="21:28" ht="13">
      <c r="U826" s="20"/>
      <c r="V826" s="20"/>
      <c r="AB826" s="21"/>
    </row>
    <row r="827" spans="21:28" ht="13">
      <c r="U827" s="20"/>
      <c r="V827" s="20"/>
      <c r="AB827" s="21"/>
    </row>
    <row r="828" spans="21:28" ht="13">
      <c r="U828" s="20"/>
      <c r="V828" s="20"/>
      <c r="AB828" s="21"/>
    </row>
    <row r="829" spans="21:28" ht="13">
      <c r="U829" s="20"/>
      <c r="V829" s="20"/>
      <c r="AB829" s="21"/>
    </row>
    <row r="830" spans="21:28" ht="13">
      <c r="U830" s="20"/>
      <c r="V830" s="20"/>
      <c r="AB830" s="21"/>
    </row>
    <row r="831" spans="21:28" ht="13">
      <c r="U831" s="20"/>
      <c r="V831" s="20"/>
      <c r="AB831" s="21"/>
    </row>
    <row r="832" spans="21:28" ht="13">
      <c r="U832" s="20"/>
      <c r="V832" s="20"/>
      <c r="AB832" s="21"/>
    </row>
    <row r="833" spans="21:28" ht="13">
      <c r="U833" s="20"/>
      <c r="V833" s="20"/>
      <c r="AB833" s="21"/>
    </row>
    <row r="834" spans="21:28" ht="13">
      <c r="U834" s="20"/>
      <c r="V834" s="20"/>
      <c r="AB834" s="21"/>
    </row>
    <row r="835" spans="21:28" ht="13">
      <c r="U835" s="20"/>
      <c r="V835" s="20"/>
      <c r="AB835" s="21"/>
    </row>
    <row r="836" spans="21:28" ht="13">
      <c r="U836" s="20"/>
      <c r="V836" s="20"/>
      <c r="AB836" s="21"/>
    </row>
    <row r="837" spans="21:28" ht="13">
      <c r="U837" s="20"/>
      <c r="V837" s="20"/>
      <c r="AB837" s="21"/>
    </row>
    <row r="838" spans="21:28" ht="13">
      <c r="U838" s="20"/>
      <c r="V838" s="20"/>
      <c r="AB838" s="21"/>
    </row>
    <row r="839" spans="21:28" ht="13">
      <c r="U839" s="20"/>
      <c r="V839" s="20"/>
      <c r="AB839" s="21"/>
    </row>
    <row r="840" spans="21:28" ht="13">
      <c r="U840" s="20"/>
      <c r="V840" s="20"/>
      <c r="AB840" s="21"/>
    </row>
    <row r="841" spans="21:28" ht="13">
      <c r="U841" s="20"/>
      <c r="V841" s="20"/>
      <c r="AB841" s="21"/>
    </row>
    <row r="842" spans="21:28" ht="13">
      <c r="U842" s="20"/>
      <c r="V842" s="20"/>
      <c r="AB842" s="21"/>
    </row>
    <row r="843" spans="21:28" ht="13">
      <c r="U843" s="20"/>
      <c r="V843" s="20"/>
      <c r="AB843" s="21"/>
    </row>
    <row r="844" spans="21:28" ht="13">
      <c r="U844" s="20"/>
      <c r="V844" s="20"/>
      <c r="AB844" s="21"/>
    </row>
    <row r="845" spans="21:28" ht="13">
      <c r="U845" s="20"/>
      <c r="V845" s="20"/>
      <c r="AB845" s="21"/>
    </row>
    <row r="846" spans="21:28" ht="13">
      <c r="U846" s="20"/>
      <c r="V846" s="20"/>
      <c r="AB846" s="21"/>
    </row>
    <row r="847" spans="21:28" ht="13">
      <c r="U847" s="20"/>
      <c r="V847" s="20"/>
      <c r="AB847" s="21"/>
    </row>
    <row r="848" spans="21:28" ht="13">
      <c r="U848" s="20"/>
      <c r="V848" s="20"/>
      <c r="AB848" s="21"/>
    </row>
    <row r="849" spans="21:28" ht="13">
      <c r="U849" s="20"/>
      <c r="V849" s="20"/>
      <c r="AB849" s="21"/>
    </row>
    <row r="850" spans="21:28" ht="13">
      <c r="U850" s="20"/>
      <c r="V850" s="20"/>
      <c r="AB850" s="21"/>
    </row>
    <row r="851" spans="21:28" ht="13">
      <c r="U851" s="20"/>
      <c r="V851" s="20"/>
      <c r="AB851" s="21"/>
    </row>
    <row r="852" spans="21:28" ht="13">
      <c r="U852" s="20"/>
      <c r="V852" s="20"/>
      <c r="AB852" s="21"/>
    </row>
    <row r="853" spans="21:28" ht="13">
      <c r="U853" s="20"/>
      <c r="V853" s="20"/>
      <c r="AB853" s="21"/>
    </row>
    <row r="854" spans="21:28" ht="13">
      <c r="U854" s="20"/>
      <c r="V854" s="20"/>
      <c r="AB854" s="21"/>
    </row>
    <row r="855" spans="21:28" ht="13">
      <c r="U855" s="20"/>
      <c r="V855" s="20"/>
      <c r="AB855" s="21"/>
    </row>
    <row r="856" spans="21:28" ht="13">
      <c r="U856" s="20"/>
      <c r="V856" s="20"/>
      <c r="AB856" s="21"/>
    </row>
    <row r="857" spans="21:28" ht="13">
      <c r="U857" s="20"/>
      <c r="V857" s="20"/>
      <c r="AB857" s="21"/>
    </row>
    <row r="858" spans="21:28" ht="13">
      <c r="U858" s="20"/>
      <c r="V858" s="20"/>
      <c r="AB858" s="21"/>
    </row>
    <row r="859" spans="21:28" ht="13">
      <c r="U859" s="20"/>
      <c r="V859" s="20"/>
      <c r="AB859" s="21"/>
    </row>
    <row r="860" spans="21:28" ht="13">
      <c r="U860" s="20"/>
      <c r="V860" s="20"/>
      <c r="AB860" s="21"/>
    </row>
    <row r="861" spans="21:28" ht="13">
      <c r="U861" s="20"/>
      <c r="V861" s="20"/>
      <c r="AB861" s="21"/>
    </row>
    <row r="862" spans="21:28" ht="13">
      <c r="U862" s="20"/>
      <c r="V862" s="20"/>
      <c r="AB862" s="21"/>
    </row>
    <row r="863" spans="21:28" ht="13">
      <c r="U863" s="20"/>
      <c r="V863" s="20"/>
      <c r="AB863" s="21"/>
    </row>
    <row r="864" spans="21:28" ht="13">
      <c r="U864" s="20"/>
      <c r="V864" s="20"/>
      <c r="AB864" s="21"/>
    </row>
    <row r="865" spans="21:28" ht="13">
      <c r="U865" s="20"/>
      <c r="V865" s="20"/>
      <c r="AB865" s="21"/>
    </row>
    <row r="866" spans="21:28" ht="13">
      <c r="U866" s="20"/>
      <c r="V866" s="20"/>
      <c r="AB866" s="21"/>
    </row>
    <row r="867" spans="21:28" ht="13">
      <c r="U867" s="20"/>
      <c r="V867" s="20"/>
      <c r="AB867" s="21"/>
    </row>
    <row r="868" spans="21:28" ht="13">
      <c r="U868" s="20"/>
      <c r="V868" s="20"/>
      <c r="AB868" s="21"/>
    </row>
    <row r="869" spans="21:28" ht="13">
      <c r="U869" s="20"/>
      <c r="V869" s="20"/>
      <c r="AB869" s="21"/>
    </row>
    <row r="870" spans="21:28" ht="13">
      <c r="U870" s="20"/>
      <c r="V870" s="20"/>
      <c r="AB870" s="21"/>
    </row>
    <row r="871" spans="21:28" ht="13">
      <c r="U871" s="20"/>
      <c r="V871" s="20"/>
      <c r="AB871" s="21"/>
    </row>
    <row r="872" spans="21:28" ht="13">
      <c r="U872" s="20"/>
      <c r="V872" s="20"/>
      <c r="AB872" s="21"/>
    </row>
    <row r="873" spans="21:28" ht="13">
      <c r="U873" s="20"/>
      <c r="V873" s="20"/>
      <c r="AB873" s="21"/>
    </row>
    <row r="874" spans="21:28" ht="13">
      <c r="U874" s="20"/>
      <c r="V874" s="20"/>
      <c r="AB874" s="21"/>
    </row>
    <row r="875" spans="21:28" ht="13">
      <c r="U875" s="20"/>
      <c r="V875" s="20"/>
      <c r="AB875" s="21"/>
    </row>
    <row r="876" spans="21:28" ht="13">
      <c r="U876" s="20"/>
      <c r="V876" s="20"/>
      <c r="AB876" s="21"/>
    </row>
    <row r="877" spans="21:28" ht="13">
      <c r="U877" s="20"/>
      <c r="V877" s="20"/>
      <c r="AB877" s="21"/>
    </row>
    <row r="878" spans="21:28" ht="13">
      <c r="U878" s="20"/>
      <c r="V878" s="20"/>
      <c r="AB878" s="21"/>
    </row>
    <row r="879" spans="21:28" ht="13">
      <c r="U879" s="20"/>
      <c r="V879" s="20"/>
      <c r="AB879" s="21"/>
    </row>
    <row r="880" spans="21:28" ht="13">
      <c r="U880" s="20"/>
      <c r="V880" s="20"/>
      <c r="AB880" s="21"/>
    </row>
    <row r="881" spans="21:28" ht="13">
      <c r="U881" s="20"/>
      <c r="V881" s="20"/>
      <c r="AB881" s="21"/>
    </row>
    <row r="882" spans="21:28" ht="13">
      <c r="U882" s="20"/>
      <c r="V882" s="20"/>
      <c r="AB882" s="21"/>
    </row>
    <row r="883" spans="21:28" ht="13">
      <c r="U883" s="20"/>
      <c r="V883" s="20"/>
      <c r="AB883" s="21"/>
    </row>
    <row r="884" spans="21:28" ht="13">
      <c r="U884" s="20"/>
      <c r="V884" s="20"/>
      <c r="AB884" s="21"/>
    </row>
    <row r="885" spans="21:28" ht="13">
      <c r="U885" s="20"/>
      <c r="V885" s="20"/>
      <c r="AB885" s="21"/>
    </row>
    <row r="886" spans="21:28" ht="13">
      <c r="U886" s="20"/>
      <c r="V886" s="20"/>
      <c r="AB886" s="21"/>
    </row>
    <row r="887" spans="21:28" ht="13">
      <c r="U887" s="20"/>
      <c r="V887" s="20"/>
      <c r="AB887" s="21"/>
    </row>
    <row r="888" spans="21:28" ht="13">
      <c r="U888" s="20"/>
      <c r="V888" s="20"/>
      <c r="AB888" s="21"/>
    </row>
    <row r="889" spans="21:28" ht="13">
      <c r="U889" s="20"/>
      <c r="V889" s="20"/>
      <c r="AB889" s="21"/>
    </row>
    <row r="890" spans="21:28" ht="13">
      <c r="U890" s="20"/>
      <c r="V890" s="20"/>
      <c r="AB890" s="21"/>
    </row>
    <row r="891" spans="21:28" ht="13">
      <c r="U891" s="20"/>
      <c r="V891" s="20"/>
      <c r="AB891" s="21"/>
    </row>
    <row r="892" spans="21:28" ht="13">
      <c r="U892" s="20"/>
      <c r="V892" s="20"/>
      <c r="AB892" s="21"/>
    </row>
    <row r="893" spans="21:28" ht="13">
      <c r="U893" s="20"/>
      <c r="V893" s="20"/>
      <c r="AB893" s="21"/>
    </row>
    <row r="894" spans="21:28" ht="13">
      <c r="U894" s="20"/>
      <c r="V894" s="20"/>
      <c r="AB894" s="21"/>
    </row>
    <row r="895" spans="21:28" ht="13">
      <c r="U895" s="20"/>
      <c r="V895" s="20"/>
      <c r="AB895" s="21"/>
    </row>
    <row r="896" spans="21:28" ht="13">
      <c r="U896" s="20"/>
      <c r="V896" s="20"/>
      <c r="AB896" s="21"/>
    </row>
    <row r="897" spans="21:28" ht="13">
      <c r="U897" s="20"/>
      <c r="V897" s="20"/>
      <c r="AB897" s="21"/>
    </row>
    <row r="898" spans="21:28" ht="13">
      <c r="U898" s="20"/>
      <c r="V898" s="20"/>
      <c r="AB898" s="21"/>
    </row>
    <row r="899" spans="21:28" ht="13">
      <c r="U899" s="20"/>
      <c r="V899" s="20"/>
      <c r="AB899" s="21"/>
    </row>
    <row r="900" spans="21:28" ht="13">
      <c r="U900" s="20"/>
      <c r="V900" s="20"/>
      <c r="AB900" s="21"/>
    </row>
    <row r="901" spans="21:28" ht="13">
      <c r="U901" s="20"/>
      <c r="V901" s="20"/>
      <c r="AB901" s="21"/>
    </row>
    <row r="902" spans="21:28" ht="13">
      <c r="U902" s="20"/>
      <c r="V902" s="20"/>
      <c r="AB902" s="21"/>
    </row>
    <row r="903" spans="21:28" ht="13">
      <c r="U903" s="20"/>
      <c r="V903" s="20"/>
      <c r="AB903" s="21"/>
    </row>
    <row r="904" spans="21:28" ht="13">
      <c r="U904" s="20"/>
      <c r="V904" s="20"/>
      <c r="AB904" s="21"/>
    </row>
    <row r="905" spans="21:28" ht="13">
      <c r="U905" s="20"/>
      <c r="V905" s="20"/>
      <c r="AB905" s="21"/>
    </row>
    <row r="906" spans="21:28" ht="13">
      <c r="U906" s="20"/>
      <c r="V906" s="20"/>
      <c r="AB906" s="21"/>
    </row>
    <row r="907" spans="21:28" ht="13">
      <c r="U907" s="20"/>
      <c r="V907" s="20"/>
      <c r="AB907" s="21"/>
    </row>
    <row r="908" spans="21:28" ht="13">
      <c r="U908" s="20"/>
      <c r="V908" s="20"/>
      <c r="AB908" s="21"/>
    </row>
    <row r="909" spans="21:28" ht="13">
      <c r="U909" s="20"/>
      <c r="V909" s="20"/>
      <c r="AB909" s="21"/>
    </row>
    <row r="910" spans="21:28" ht="13">
      <c r="U910" s="20"/>
      <c r="V910" s="20"/>
      <c r="AB910" s="21"/>
    </row>
    <row r="911" spans="21:28" ht="13">
      <c r="U911" s="20"/>
      <c r="V911" s="20"/>
      <c r="AB911" s="21"/>
    </row>
    <row r="912" spans="21:28" ht="13">
      <c r="U912" s="20"/>
      <c r="V912" s="20"/>
      <c r="AB912" s="21"/>
    </row>
    <row r="913" spans="21:28" ht="13">
      <c r="U913" s="20"/>
      <c r="V913" s="20"/>
      <c r="AB913" s="21"/>
    </row>
    <row r="914" spans="21:28" ht="13">
      <c r="U914" s="20"/>
      <c r="V914" s="20"/>
      <c r="AB914" s="21"/>
    </row>
    <row r="915" spans="21:28" ht="13">
      <c r="U915" s="20"/>
      <c r="V915" s="20"/>
      <c r="AB915" s="21"/>
    </row>
    <row r="916" spans="21:28" ht="13">
      <c r="U916" s="20"/>
      <c r="V916" s="20"/>
      <c r="AB916" s="21"/>
    </row>
    <row r="917" spans="21:28" ht="13">
      <c r="U917" s="20"/>
      <c r="V917" s="20"/>
      <c r="AB917" s="21"/>
    </row>
    <row r="918" spans="21:28" ht="13">
      <c r="U918" s="20"/>
      <c r="V918" s="20"/>
      <c r="AB918" s="21"/>
    </row>
    <row r="919" spans="21:28" ht="13">
      <c r="U919" s="20"/>
      <c r="V919" s="20"/>
      <c r="AB919" s="21"/>
    </row>
    <row r="920" spans="21:28" ht="13">
      <c r="U920" s="20"/>
      <c r="V920" s="20"/>
      <c r="AB920" s="21"/>
    </row>
    <row r="921" spans="21:28" ht="13">
      <c r="U921" s="20"/>
      <c r="V921" s="20"/>
      <c r="AB921" s="21"/>
    </row>
    <row r="922" spans="21:28" ht="13">
      <c r="U922" s="20"/>
      <c r="V922" s="20"/>
      <c r="AB922" s="21"/>
    </row>
    <row r="923" spans="21:28" ht="13">
      <c r="U923" s="20"/>
      <c r="V923" s="20"/>
      <c r="AB923" s="21"/>
    </row>
    <row r="924" spans="21:28" ht="13">
      <c r="U924" s="20"/>
      <c r="V924" s="20"/>
      <c r="AB924" s="21"/>
    </row>
    <row r="925" spans="21:28" ht="13">
      <c r="U925" s="20"/>
      <c r="V925" s="20"/>
      <c r="AB925" s="21"/>
    </row>
    <row r="926" spans="21:28" ht="13">
      <c r="U926" s="20"/>
      <c r="V926" s="20"/>
      <c r="AB926" s="21"/>
    </row>
    <row r="927" spans="21:28" ht="13">
      <c r="U927" s="20"/>
      <c r="V927" s="20"/>
      <c r="AB927" s="21"/>
    </row>
    <row r="928" spans="21:28" ht="13">
      <c r="U928" s="20"/>
      <c r="V928" s="20"/>
      <c r="AB928" s="21"/>
    </row>
    <row r="929" spans="21:28" ht="13">
      <c r="U929" s="20"/>
      <c r="V929" s="20"/>
      <c r="AB929" s="21"/>
    </row>
    <row r="930" spans="21:28" ht="13">
      <c r="U930" s="20"/>
      <c r="V930" s="20"/>
      <c r="AB930" s="21"/>
    </row>
    <row r="931" spans="21:28" ht="13">
      <c r="U931" s="20"/>
      <c r="V931" s="20"/>
      <c r="AB931" s="21"/>
    </row>
    <row r="932" spans="21:28" ht="13">
      <c r="U932" s="20"/>
      <c r="V932" s="20"/>
      <c r="AB932" s="21"/>
    </row>
    <row r="933" spans="21:28" ht="13">
      <c r="U933" s="20"/>
      <c r="V933" s="20"/>
      <c r="AB933" s="21"/>
    </row>
    <row r="934" spans="21:28" ht="13">
      <c r="U934" s="20"/>
      <c r="V934" s="20"/>
      <c r="AB934" s="21"/>
    </row>
    <row r="935" spans="21:28" ht="13">
      <c r="U935" s="20"/>
      <c r="V935" s="20"/>
      <c r="AB935" s="21"/>
    </row>
    <row r="936" spans="21:28" ht="13">
      <c r="U936" s="20"/>
      <c r="V936" s="20"/>
      <c r="AB936" s="21"/>
    </row>
    <row r="937" spans="21:28" ht="13">
      <c r="U937" s="20"/>
      <c r="V937" s="20"/>
      <c r="AB937" s="21"/>
    </row>
    <row r="938" spans="21:28" ht="13">
      <c r="U938" s="20"/>
      <c r="V938" s="20"/>
      <c r="AB938" s="21"/>
    </row>
  </sheetData>
  <sheetProtection algorithmName="SHA-512" hashValue="hwMarweGjNkLo4w5+7YdeHEiz2H6oKG3y9/zMu+8/KT6fuCPCD7u3z505h0j9XGWy4kNwxasMS/CPvIQomDxTA==" saltValue="CKHgo5Exy6IS4hLsUgqkEQ==" spinCount="100000" sheet="1" formatCells="0" formatColumns="0" formatRows="0" insertColumns="0" insertRows="0" insertHyperlinks="0" deleteColumns="0" deleteRows="0" sort="0" autoFilter="0" pivotTables="0"/>
  <autoFilter ref="A2:AC72" xr:uid="{00000000-0009-0000-0000-000000000000}">
    <sortState xmlns:xlrd2="http://schemas.microsoft.com/office/spreadsheetml/2017/richdata2" ref="A3:AC72">
      <sortCondition ref="B3:B72" customList="path10,path15,path20,cycle10,cycle15,cycle20,petersen,k5,k6,k7,k10,star5,star7,star10,star15,star20,wheel5,wheel7,wheel10,wheel15,wheel20,mobiousLadder6,mobiousLadder8,mobiousLadder10,mobiousLadder12,mobiousLadder16,triangle6,tr"/>
    </sortState>
  </autoFilter>
  <mergeCells count="5">
    <mergeCell ref="I1:P1"/>
    <mergeCell ref="Q1:W1"/>
    <mergeCell ref="Y1:AB1"/>
    <mergeCell ref="AD1:AJ1"/>
    <mergeCell ref="AK1:AQ1"/>
  </mergeCells>
  <conditionalFormatting sqref="H3:H938">
    <cfRule type="cellIs" dxfId="1" priority="1" operator="equal">
      <formula>"CHECK"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885C-E382-D040-B959-C3D0F78415D8}">
  <sheetPr>
    <outlinePr summaryBelow="0" summaryRight="0"/>
  </sheetPr>
  <dimension ref="A1:AQ919"/>
  <sheetViews>
    <sheetView workbookViewId="0">
      <pane ySplit="2" topLeftCell="A3" activePane="bottomLeft" state="frozen"/>
      <selection pane="bottomLeft" activeCell="A45" sqref="A45"/>
    </sheetView>
  </sheetViews>
  <sheetFormatPr baseColWidth="10" defaultColWidth="12.6640625" defaultRowHeight="15.75" customHeight="1"/>
  <cols>
    <col min="1" max="1" width="9.6640625" bestFit="1" customWidth="1"/>
    <col min="2" max="2" width="11.6640625" customWidth="1"/>
    <col min="3" max="4" width="5.6640625" customWidth="1"/>
    <col min="5" max="5" width="8.1640625" customWidth="1"/>
    <col min="6" max="6" width="6.6640625" customWidth="1"/>
    <col min="7" max="7" width="9" customWidth="1"/>
    <col min="8" max="8" width="9.1640625" customWidth="1"/>
    <col min="9" max="9" width="9" customWidth="1"/>
    <col min="10" max="10" width="4.83203125" customWidth="1"/>
    <col min="11" max="11" width="15.6640625" customWidth="1"/>
    <col min="12" max="12" width="5.33203125" customWidth="1"/>
    <col min="13" max="13" width="4.1640625" customWidth="1"/>
    <col min="14" max="14" width="2.6640625" customWidth="1"/>
    <col min="15" max="15" width="2.83203125" customWidth="1"/>
    <col min="16" max="16" width="12.1640625" bestFit="1" customWidth="1"/>
    <col min="17" max="19" width="6.6640625" customWidth="1"/>
    <col min="20" max="20" width="8.6640625" bestFit="1" customWidth="1"/>
    <col min="21" max="21" width="9.1640625" customWidth="1"/>
    <col min="22" max="22" width="10.5" customWidth="1"/>
    <col min="23" max="23" width="8.5" customWidth="1"/>
    <col min="24" max="24" width="7.83203125" customWidth="1"/>
    <col min="25" max="25" width="3.6640625" customWidth="1"/>
    <col min="26" max="26" width="2.83203125" customWidth="1"/>
    <col min="27" max="27" width="3.83203125" customWidth="1"/>
    <col min="28" max="28" width="11.1640625" bestFit="1" customWidth="1"/>
    <col min="29" max="29" width="8" customWidth="1"/>
  </cols>
  <sheetData>
    <row r="1" spans="1:43" ht="15.75" customHeight="1">
      <c r="A1" s="1"/>
      <c r="B1" s="1"/>
      <c r="C1" s="1"/>
      <c r="D1" s="1"/>
      <c r="E1" s="2"/>
      <c r="F1" s="2"/>
      <c r="G1" s="3" t="str">
        <f>COUNTA($A$3:$A$50)-COUNTBLANK($G$3:$G$50) &amp; " done"</f>
        <v>48 done</v>
      </c>
      <c r="H1" s="3" t="str">
        <f>COUNTIF(H3:$H$50,"=CHECK") &amp; " to check"</f>
        <v>7 to check</v>
      </c>
      <c r="I1" s="69" t="s">
        <v>0</v>
      </c>
      <c r="J1" s="70"/>
      <c r="K1" s="70"/>
      <c r="L1" s="70"/>
      <c r="M1" s="70"/>
      <c r="N1" s="70"/>
      <c r="O1" s="70"/>
      <c r="P1" s="70"/>
      <c r="Q1" s="71" t="s">
        <v>1</v>
      </c>
      <c r="R1" s="71"/>
      <c r="S1" s="71"/>
      <c r="T1" s="71"/>
      <c r="U1" s="70"/>
      <c r="V1" s="70"/>
      <c r="W1" s="70"/>
      <c r="X1" s="6" t="s">
        <v>2</v>
      </c>
      <c r="Y1" s="72" t="s">
        <v>3</v>
      </c>
      <c r="Z1" s="70"/>
      <c r="AA1" s="70"/>
      <c r="AB1" s="70"/>
      <c r="AC1" s="8"/>
      <c r="AD1" s="67" t="s">
        <v>178</v>
      </c>
      <c r="AE1" s="67"/>
      <c r="AF1" s="67"/>
      <c r="AG1" s="67"/>
      <c r="AH1" s="67"/>
      <c r="AI1" s="67"/>
      <c r="AJ1" s="67"/>
      <c r="AK1" s="68" t="s">
        <v>255</v>
      </c>
      <c r="AL1" s="68"/>
      <c r="AM1" s="68"/>
      <c r="AN1" s="68"/>
      <c r="AO1" s="68"/>
      <c r="AP1" s="68"/>
      <c r="AQ1" s="68"/>
    </row>
    <row r="2" spans="1:43" ht="15.75" customHeight="1">
      <c r="A2" s="9" t="s">
        <v>4</v>
      </c>
      <c r="B2" s="9" t="s">
        <v>5</v>
      </c>
      <c r="C2" s="9" t="s">
        <v>6</v>
      </c>
      <c r="D2" s="9" t="s">
        <v>7</v>
      </c>
      <c r="E2" s="10" t="s">
        <v>8</v>
      </c>
      <c r="F2" s="10" t="s">
        <v>1</v>
      </c>
      <c r="G2" s="10" t="s">
        <v>3</v>
      </c>
      <c r="H2" s="10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5" t="s">
        <v>18</v>
      </c>
      <c r="R2" s="5" t="s">
        <v>169</v>
      </c>
      <c r="S2" s="5" t="s">
        <v>170</v>
      </c>
      <c r="T2" s="5" t="s">
        <v>177</v>
      </c>
      <c r="U2" s="11" t="s">
        <v>19</v>
      </c>
      <c r="V2" s="11" t="s">
        <v>20</v>
      </c>
      <c r="W2" s="5" t="s">
        <v>21</v>
      </c>
      <c r="X2" s="6" t="s">
        <v>22</v>
      </c>
      <c r="Y2" s="7" t="s">
        <v>15</v>
      </c>
      <c r="Z2" s="7" t="s">
        <v>16</v>
      </c>
      <c r="AA2" s="7" t="s">
        <v>17</v>
      </c>
      <c r="AB2" s="7" t="s">
        <v>22</v>
      </c>
      <c r="AC2" s="7" t="s">
        <v>21</v>
      </c>
      <c r="AD2" s="29" t="s">
        <v>179</v>
      </c>
      <c r="AE2" s="29" t="s">
        <v>180</v>
      </c>
      <c r="AF2" s="29" t="s">
        <v>181</v>
      </c>
      <c r="AG2" s="29" t="s">
        <v>274</v>
      </c>
      <c r="AH2" s="29" t="s">
        <v>275</v>
      </c>
      <c r="AI2" s="29" t="s">
        <v>276</v>
      </c>
      <c r="AJ2" s="29" t="s">
        <v>176</v>
      </c>
      <c r="AK2" s="35" t="s">
        <v>175</v>
      </c>
      <c r="AL2" s="35" t="s">
        <v>180</v>
      </c>
      <c r="AM2" s="35" t="s">
        <v>181</v>
      </c>
      <c r="AN2" s="35" t="s">
        <v>182</v>
      </c>
      <c r="AO2" s="35" t="s">
        <v>256</v>
      </c>
      <c r="AP2" s="35" t="s">
        <v>170</v>
      </c>
      <c r="AQ2" s="35" t="s">
        <v>176</v>
      </c>
    </row>
    <row r="3" spans="1:43" ht="13">
      <c r="A3" s="12" t="s">
        <v>127</v>
      </c>
      <c r="B3" s="13" t="s">
        <v>257</v>
      </c>
      <c r="C3" s="12">
        <v>918</v>
      </c>
      <c r="D3" s="12">
        <v>3233</v>
      </c>
      <c r="E3" s="14">
        <f t="shared" ref="E3:E34" si="0">P3</f>
        <v>4</v>
      </c>
      <c r="F3" s="14">
        <f t="shared" ref="F3:F34" si="1">Q3</f>
        <v>4</v>
      </c>
      <c r="G3" s="14">
        <f t="shared" ref="G3:G34" si="2">AA3</f>
        <v>4</v>
      </c>
      <c r="H3" s="14" t="str">
        <f t="shared" ref="H3:H34" si="3">IF(OR(E3=G3,F3=G3),"OK","CHECK")</f>
        <v>OK</v>
      </c>
      <c r="I3" s="12">
        <v>918</v>
      </c>
      <c r="J3" s="12">
        <v>3233</v>
      </c>
      <c r="K3" s="16">
        <v>768110467257302</v>
      </c>
      <c r="L3" s="12">
        <v>12</v>
      </c>
      <c r="M3" s="12">
        <v>42</v>
      </c>
      <c r="N3" s="12">
        <v>1</v>
      </c>
      <c r="O3" s="12">
        <v>30</v>
      </c>
      <c r="P3" s="12">
        <f>MIN(Q3,AA3,AG3,AN3)</f>
        <v>4</v>
      </c>
      <c r="Q3" s="12">
        <v>4</v>
      </c>
      <c r="R3" s="12">
        <v>4.4000000000000004</v>
      </c>
      <c r="S3" s="12">
        <v>6</v>
      </c>
      <c r="T3" s="12">
        <v>250</v>
      </c>
      <c r="U3" s="15">
        <v>660.39125100000001</v>
      </c>
      <c r="V3" s="15">
        <v>5.8749482300000002</v>
      </c>
      <c r="W3" s="28">
        <f>(Q3-P3)/P3</f>
        <v>0</v>
      </c>
      <c r="X3" s="12"/>
      <c r="Y3" s="18" t="s">
        <v>26</v>
      </c>
      <c r="Z3" s="18" t="s">
        <v>26</v>
      </c>
      <c r="AA3" s="18">
        <v>4</v>
      </c>
      <c r="AB3" s="19">
        <v>439.89</v>
      </c>
      <c r="AC3" s="28">
        <f>(AA3-P3)/P3</f>
        <v>0</v>
      </c>
      <c r="AD3">
        <v>1</v>
      </c>
      <c r="AE3">
        <v>4174.0360000000001</v>
      </c>
      <c r="AF3">
        <v>4174.0360000000001</v>
      </c>
      <c r="AG3">
        <v>29</v>
      </c>
      <c r="AH3">
        <v>29</v>
      </c>
      <c r="AI3">
        <v>29</v>
      </c>
      <c r="AJ3">
        <f>(AG3-P3)/P3</f>
        <v>6.25</v>
      </c>
      <c r="AK3">
        <v>5</v>
      </c>
      <c r="AL3">
        <v>30.32</v>
      </c>
      <c r="AM3">
        <v>5.91</v>
      </c>
      <c r="AN3">
        <v>30</v>
      </c>
      <c r="AO3">
        <v>30</v>
      </c>
      <c r="AP3">
        <v>30</v>
      </c>
      <c r="AQ3">
        <f>(AN3-Q3)/Q3</f>
        <v>6.5</v>
      </c>
    </row>
    <row r="4" spans="1:43" ht="13">
      <c r="A4" s="12" t="s">
        <v>127</v>
      </c>
      <c r="B4" s="13" t="s">
        <v>167</v>
      </c>
      <c r="C4" s="12">
        <v>900</v>
      </c>
      <c r="D4" s="12">
        <v>3422</v>
      </c>
      <c r="E4" s="14">
        <f t="shared" si="0"/>
        <v>1</v>
      </c>
      <c r="F4" s="14">
        <f t="shared" si="1"/>
        <v>1</v>
      </c>
      <c r="G4" s="14">
        <f t="shared" si="2"/>
        <v>1</v>
      </c>
      <c r="H4" s="14" t="str">
        <f t="shared" si="3"/>
        <v>OK</v>
      </c>
      <c r="I4" s="12">
        <v>900</v>
      </c>
      <c r="J4" s="12">
        <v>3422</v>
      </c>
      <c r="K4" s="16">
        <v>845878136200717</v>
      </c>
      <c r="L4" s="12">
        <v>8</v>
      </c>
      <c r="M4" s="12">
        <v>29</v>
      </c>
      <c r="N4" s="12">
        <v>1</v>
      </c>
      <c r="O4" s="12">
        <v>29</v>
      </c>
      <c r="P4" s="12">
        <f t="shared" ref="P4:P55" si="4">MIN(Q4,AA4,AG4,AN4)</f>
        <v>1</v>
      </c>
      <c r="Q4" s="12">
        <v>1</v>
      </c>
      <c r="R4" s="12">
        <v>5.25</v>
      </c>
      <c r="S4" s="12">
        <v>6</v>
      </c>
      <c r="T4" s="12">
        <v>12</v>
      </c>
      <c r="U4" s="15">
        <v>43.950539800000001</v>
      </c>
      <c r="V4" s="15">
        <v>43.942187799999999</v>
      </c>
      <c r="W4" s="28">
        <f t="shared" ref="W4:W54" si="5">(Q4-P4)/P4</f>
        <v>0</v>
      </c>
      <c r="X4" s="12"/>
      <c r="Y4" s="12" t="s">
        <v>26</v>
      </c>
      <c r="Z4" s="12" t="s">
        <v>26</v>
      </c>
      <c r="AA4" s="12">
        <v>1</v>
      </c>
      <c r="AB4" s="17">
        <v>50.37</v>
      </c>
      <c r="AC4" s="28">
        <f t="shared" ref="AC4:AC54" si="6">(AA4-P4)/P4</f>
        <v>0</v>
      </c>
      <c r="AD4">
        <v>1</v>
      </c>
      <c r="AE4">
        <v>4321.3950000000004</v>
      </c>
      <c r="AF4">
        <v>4321.3950000000004</v>
      </c>
      <c r="AG4">
        <v>29</v>
      </c>
      <c r="AH4">
        <v>29</v>
      </c>
      <c r="AI4">
        <v>29</v>
      </c>
      <c r="AJ4">
        <f t="shared" ref="AJ4:AJ54" si="7">(AG4-P4)/P4</f>
        <v>28</v>
      </c>
      <c r="AK4">
        <v>5</v>
      </c>
      <c r="AL4">
        <v>29.55</v>
      </c>
      <c r="AM4">
        <v>29.55</v>
      </c>
      <c r="AN4">
        <v>29</v>
      </c>
      <c r="AO4">
        <v>29</v>
      </c>
      <c r="AP4">
        <v>29</v>
      </c>
      <c r="AQ4">
        <f t="shared" ref="AQ4:AQ55" si="8">(AN4-Q4)/Q4</f>
        <v>28</v>
      </c>
    </row>
    <row r="5" spans="1:43" ht="13">
      <c r="A5" s="12" t="s">
        <v>127</v>
      </c>
      <c r="B5" s="13" t="s">
        <v>258</v>
      </c>
      <c r="C5" s="12">
        <v>878</v>
      </c>
      <c r="D5" s="12">
        <v>3285</v>
      </c>
      <c r="E5" s="14">
        <f t="shared" si="0"/>
        <v>4</v>
      </c>
      <c r="F5" s="14">
        <f t="shared" si="1"/>
        <v>4</v>
      </c>
      <c r="G5" s="14">
        <f t="shared" si="2"/>
        <v>4</v>
      </c>
      <c r="H5" s="14" t="str">
        <f t="shared" si="3"/>
        <v>OK</v>
      </c>
      <c r="I5" s="12">
        <v>878</v>
      </c>
      <c r="J5" s="12">
        <v>3285</v>
      </c>
      <c r="K5" s="16">
        <v>853240104622561</v>
      </c>
      <c r="L5" s="12">
        <v>9</v>
      </c>
      <c r="M5" s="12">
        <v>40</v>
      </c>
      <c r="N5" s="12">
        <v>1</v>
      </c>
      <c r="O5" s="12">
        <v>29</v>
      </c>
      <c r="P5" s="12">
        <f t="shared" si="4"/>
        <v>4</v>
      </c>
      <c r="Q5" s="12">
        <v>4</v>
      </c>
      <c r="R5" s="12">
        <v>4.6319999999999997</v>
      </c>
      <c r="S5" s="12">
        <v>5</v>
      </c>
      <c r="T5" s="12">
        <v>250</v>
      </c>
      <c r="U5" s="15">
        <v>504.03689300000002</v>
      </c>
      <c r="V5" s="15">
        <v>4.1638662599999998</v>
      </c>
      <c r="W5" s="28">
        <f t="shared" si="5"/>
        <v>0</v>
      </c>
      <c r="X5" s="12"/>
      <c r="Y5" s="18" t="s">
        <v>26</v>
      </c>
      <c r="Z5" s="18" t="s">
        <v>26</v>
      </c>
      <c r="AA5" s="18">
        <v>4</v>
      </c>
      <c r="AB5" s="19">
        <v>27.09</v>
      </c>
      <c r="AC5" s="28">
        <f t="shared" si="6"/>
        <v>0</v>
      </c>
      <c r="AD5">
        <v>1</v>
      </c>
      <c r="AE5">
        <v>4025.8519999999999</v>
      </c>
      <c r="AF5">
        <v>4025.8519999999999</v>
      </c>
      <c r="AG5">
        <v>29</v>
      </c>
      <c r="AH5">
        <v>29</v>
      </c>
      <c r="AI5">
        <v>29</v>
      </c>
      <c r="AJ5">
        <f t="shared" si="7"/>
        <v>6.25</v>
      </c>
      <c r="AK5">
        <v>5</v>
      </c>
      <c r="AL5">
        <v>28.2</v>
      </c>
      <c r="AM5">
        <v>28.2</v>
      </c>
      <c r="AN5">
        <v>29</v>
      </c>
      <c r="AO5">
        <v>29</v>
      </c>
      <c r="AP5">
        <v>29</v>
      </c>
      <c r="AQ5">
        <f t="shared" si="8"/>
        <v>6.25</v>
      </c>
    </row>
    <row r="6" spans="1:43" ht="13">
      <c r="A6" s="12" t="s">
        <v>127</v>
      </c>
      <c r="B6" s="13" t="s">
        <v>166</v>
      </c>
      <c r="C6" s="12">
        <v>817</v>
      </c>
      <c r="D6" s="12">
        <v>3018</v>
      </c>
      <c r="E6" s="14">
        <f t="shared" si="0"/>
        <v>4</v>
      </c>
      <c r="F6" s="14">
        <f t="shared" si="1"/>
        <v>4</v>
      </c>
      <c r="G6" s="14">
        <f t="shared" si="2"/>
        <v>4</v>
      </c>
      <c r="H6" s="14" t="str">
        <f t="shared" si="3"/>
        <v>OK</v>
      </c>
      <c r="I6" s="12">
        <v>817</v>
      </c>
      <c r="J6" s="12">
        <v>3018</v>
      </c>
      <c r="K6" s="16">
        <v>905392756857945</v>
      </c>
      <c r="L6" s="12">
        <v>10</v>
      </c>
      <c r="M6" s="12">
        <v>86</v>
      </c>
      <c r="N6" s="12">
        <v>1</v>
      </c>
      <c r="O6" s="12">
        <v>28</v>
      </c>
      <c r="P6" s="12">
        <f t="shared" si="4"/>
        <v>4</v>
      </c>
      <c r="Q6" s="12">
        <v>4</v>
      </c>
      <c r="R6" s="12">
        <v>4.1959999999999997</v>
      </c>
      <c r="S6" s="12">
        <v>5</v>
      </c>
      <c r="T6" s="12">
        <v>250</v>
      </c>
      <c r="U6" s="15">
        <v>478.749753</v>
      </c>
      <c r="V6" s="15">
        <v>3.13914311</v>
      </c>
      <c r="W6" s="28">
        <f t="shared" si="5"/>
        <v>0</v>
      </c>
      <c r="X6" s="12"/>
      <c r="Y6" s="18" t="s">
        <v>26</v>
      </c>
      <c r="Z6" s="18" t="s">
        <v>26</v>
      </c>
      <c r="AA6" s="18">
        <v>4</v>
      </c>
      <c r="AB6" s="19">
        <v>94.39</v>
      </c>
      <c r="AC6" s="28">
        <f t="shared" si="6"/>
        <v>0</v>
      </c>
      <c r="AD6">
        <v>1</v>
      </c>
      <c r="AE6">
        <v>3719.5839999999998</v>
      </c>
      <c r="AF6">
        <v>3719.5839999999998</v>
      </c>
      <c r="AG6">
        <v>28</v>
      </c>
      <c r="AH6">
        <v>28</v>
      </c>
      <c r="AI6">
        <v>28</v>
      </c>
      <c r="AJ6">
        <f t="shared" si="7"/>
        <v>6</v>
      </c>
      <c r="AK6">
        <v>5</v>
      </c>
      <c r="AL6">
        <v>18000.009999999998</v>
      </c>
      <c r="AM6">
        <v>3600</v>
      </c>
      <c r="AN6">
        <v>27</v>
      </c>
      <c r="AO6">
        <v>27</v>
      </c>
      <c r="AP6">
        <v>27</v>
      </c>
      <c r="AQ6">
        <f t="shared" si="8"/>
        <v>5.75</v>
      </c>
    </row>
    <row r="7" spans="1:43" ht="13">
      <c r="A7" s="12" t="s">
        <v>127</v>
      </c>
      <c r="B7" s="13" t="s">
        <v>259</v>
      </c>
      <c r="C7" s="12">
        <v>715</v>
      </c>
      <c r="D7" s="12">
        <v>2975</v>
      </c>
      <c r="E7" s="14">
        <f t="shared" si="0"/>
        <v>6</v>
      </c>
      <c r="F7" s="14">
        <f t="shared" si="1"/>
        <v>6</v>
      </c>
      <c r="G7" s="14">
        <f t="shared" si="2"/>
        <v>6</v>
      </c>
      <c r="H7" s="14" t="str">
        <f t="shared" si="3"/>
        <v>OK</v>
      </c>
      <c r="I7" s="12">
        <v>715</v>
      </c>
      <c r="J7" s="12">
        <v>2975</v>
      </c>
      <c r="K7" s="16">
        <v>116550116550117</v>
      </c>
      <c r="L7" s="12">
        <v>104</v>
      </c>
      <c r="M7" s="12">
        <v>14</v>
      </c>
      <c r="N7" s="12">
        <v>2</v>
      </c>
      <c r="O7" s="12">
        <v>26</v>
      </c>
      <c r="P7" s="12">
        <f t="shared" si="4"/>
        <v>6</v>
      </c>
      <c r="Q7" s="12">
        <v>6</v>
      </c>
      <c r="R7" s="12">
        <v>6.6479999999999997</v>
      </c>
      <c r="S7" s="12">
        <v>9</v>
      </c>
      <c r="T7" s="12">
        <v>250</v>
      </c>
      <c r="U7" s="15">
        <v>1093.69199</v>
      </c>
      <c r="V7" s="15">
        <v>19.179179099999999</v>
      </c>
      <c r="W7" s="28">
        <f t="shared" si="5"/>
        <v>0</v>
      </c>
      <c r="X7" s="12"/>
      <c r="Y7" s="18" t="s">
        <v>26</v>
      </c>
      <c r="Z7" s="18" t="s">
        <v>26</v>
      </c>
      <c r="AA7" s="18">
        <v>6</v>
      </c>
      <c r="AB7" s="19">
        <v>1291.0999999999999</v>
      </c>
      <c r="AC7" s="28">
        <f t="shared" si="6"/>
        <v>0</v>
      </c>
      <c r="AD7">
        <v>1</v>
      </c>
      <c r="AE7">
        <v>3634.9389999999999</v>
      </c>
      <c r="AF7">
        <v>3634.9389999999999</v>
      </c>
      <c r="AG7">
        <v>26</v>
      </c>
      <c r="AH7">
        <v>26</v>
      </c>
      <c r="AI7">
        <v>26</v>
      </c>
      <c r="AJ7">
        <f t="shared" si="7"/>
        <v>3.3333333333333335</v>
      </c>
      <c r="AK7">
        <v>5</v>
      </c>
      <c r="AL7">
        <v>18000.009999999998</v>
      </c>
      <c r="AM7">
        <v>3600</v>
      </c>
      <c r="AN7">
        <v>25</v>
      </c>
      <c r="AO7">
        <v>25</v>
      </c>
      <c r="AP7">
        <v>25</v>
      </c>
      <c r="AQ7">
        <f t="shared" si="8"/>
        <v>3.1666666666666665</v>
      </c>
    </row>
    <row r="8" spans="1:43" ht="13">
      <c r="A8" s="12" t="s">
        <v>127</v>
      </c>
      <c r="B8" s="13" t="s">
        <v>164</v>
      </c>
      <c r="C8" s="12">
        <v>685</v>
      </c>
      <c r="D8" s="12">
        <v>1282</v>
      </c>
      <c r="E8" s="14">
        <f t="shared" si="0"/>
        <v>3</v>
      </c>
      <c r="F8" s="14">
        <f t="shared" si="1"/>
        <v>3</v>
      </c>
      <c r="G8" s="14">
        <f t="shared" si="2"/>
        <v>3</v>
      </c>
      <c r="H8" s="14" t="str">
        <f t="shared" si="3"/>
        <v>OK</v>
      </c>
      <c r="I8" s="12">
        <v>685</v>
      </c>
      <c r="J8" s="12">
        <v>1282</v>
      </c>
      <c r="K8" s="16">
        <v>54723182652495</v>
      </c>
      <c r="L8" s="12">
        <v>12</v>
      </c>
      <c r="M8" s="12">
        <v>26</v>
      </c>
      <c r="N8" s="12">
        <v>1</v>
      </c>
      <c r="O8" s="12">
        <v>26</v>
      </c>
      <c r="P8" s="12">
        <f t="shared" si="4"/>
        <v>3</v>
      </c>
      <c r="Q8" s="12">
        <v>3</v>
      </c>
      <c r="R8" s="12">
        <v>4.0720000000000001</v>
      </c>
      <c r="S8" s="12">
        <v>5</v>
      </c>
      <c r="T8" s="12">
        <v>250</v>
      </c>
      <c r="U8" s="15">
        <v>263.554485</v>
      </c>
      <c r="V8" s="15">
        <v>29.952233100000001</v>
      </c>
      <c r="W8" s="28">
        <f t="shared" si="5"/>
        <v>0</v>
      </c>
      <c r="X8" s="12"/>
      <c r="Y8" s="18" t="s">
        <v>26</v>
      </c>
      <c r="Z8" s="18" t="s">
        <v>26</v>
      </c>
      <c r="AA8" s="18">
        <v>3</v>
      </c>
      <c r="AB8" s="19">
        <v>3759.93</v>
      </c>
      <c r="AC8" s="28">
        <f t="shared" si="6"/>
        <v>0</v>
      </c>
      <c r="AD8">
        <v>1</v>
      </c>
      <c r="AE8">
        <v>3633.86</v>
      </c>
      <c r="AF8">
        <v>3633.86</v>
      </c>
      <c r="AG8">
        <v>25</v>
      </c>
      <c r="AH8">
        <v>25</v>
      </c>
      <c r="AI8">
        <v>25</v>
      </c>
      <c r="AJ8">
        <f t="shared" si="7"/>
        <v>7.333333333333333</v>
      </c>
      <c r="AK8">
        <v>5</v>
      </c>
      <c r="AL8">
        <v>1122.2</v>
      </c>
      <c r="AM8">
        <v>228.21</v>
      </c>
      <c r="AN8">
        <v>24</v>
      </c>
      <c r="AO8">
        <v>24</v>
      </c>
      <c r="AP8">
        <v>24</v>
      </c>
      <c r="AQ8">
        <f t="shared" si="8"/>
        <v>7</v>
      </c>
    </row>
    <row r="9" spans="1:43" ht="13">
      <c r="A9" s="12" t="s">
        <v>127</v>
      </c>
      <c r="B9" s="13" t="s">
        <v>163</v>
      </c>
      <c r="C9" s="12">
        <v>675</v>
      </c>
      <c r="D9" s="12">
        <v>1290</v>
      </c>
      <c r="E9" s="14">
        <f t="shared" si="0"/>
        <v>3</v>
      </c>
      <c r="F9" s="14">
        <f t="shared" si="1"/>
        <v>3</v>
      </c>
      <c r="G9" s="14">
        <f t="shared" si="2"/>
        <v>3</v>
      </c>
      <c r="H9" s="14" t="str">
        <f t="shared" si="3"/>
        <v>OK</v>
      </c>
      <c r="I9" s="12">
        <v>675</v>
      </c>
      <c r="J9" s="12">
        <v>1290</v>
      </c>
      <c r="K9" s="16">
        <v>567095285196175</v>
      </c>
      <c r="L9" s="12">
        <v>4</v>
      </c>
      <c r="M9" s="12">
        <v>58</v>
      </c>
      <c r="N9" s="12">
        <v>1</v>
      </c>
      <c r="O9" s="12">
        <v>25</v>
      </c>
      <c r="P9" s="12">
        <f t="shared" si="4"/>
        <v>3</v>
      </c>
      <c r="Q9" s="12">
        <v>3</v>
      </c>
      <c r="R9" s="12">
        <v>3.8559999999999999</v>
      </c>
      <c r="S9" s="12">
        <v>5</v>
      </c>
      <c r="T9" s="12">
        <v>250</v>
      </c>
      <c r="U9" s="15">
        <v>160.98315600000001</v>
      </c>
      <c r="V9" s="15">
        <v>2.3056447499999999</v>
      </c>
      <c r="W9" s="28">
        <f t="shared" si="5"/>
        <v>0</v>
      </c>
      <c r="X9" s="12"/>
      <c r="Y9" s="18" t="s">
        <v>26</v>
      </c>
      <c r="Z9" s="18" t="s">
        <v>26</v>
      </c>
      <c r="AA9" s="18">
        <v>3</v>
      </c>
      <c r="AB9" s="19">
        <v>251.3</v>
      </c>
      <c r="AC9" s="28">
        <f t="shared" si="6"/>
        <v>0</v>
      </c>
      <c r="AD9">
        <v>1</v>
      </c>
      <c r="AE9">
        <v>3784.76</v>
      </c>
      <c r="AF9">
        <v>3784.76</v>
      </c>
      <c r="AG9">
        <v>24</v>
      </c>
      <c r="AH9">
        <v>24</v>
      </c>
      <c r="AI9">
        <v>24</v>
      </c>
      <c r="AJ9">
        <f t="shared" si="7"/>
        <v>7</v>
      </c>
      <c r="AK9">
        <v>5</v>
      </c>
      <c r="AL9">
        <v>1889.01</v>
      </c>
      <c r="AM9">
        <v>395.97</v>
      </c>
      <c r="AN9">
        <v>23</v>
      </c>
      <c r="AO9">
        <v>23.6</v>
      </c>
      <c r="AP9">
        <v>24</v>
      </c>
      <c r="AQ9">
        <f t="shared" si="8"/>
        <v>6.666666666666667</v>
      </c>
    </row>
    <row r="10" spans="1:43" ht="13">
      <c r="A10" s="12" t="s">
        <v>127</v>
      </c>
      <c r="B10" s="13" t="s">
        <v>162</v>
      </c>
      <c r="C10" s="12">
        <v>662</v>
      </c>
      <c r="D10" s="12">
        <v>906</v>
      </c>
      <c r="E10" s="14">
        <f t="shared" si="0"/>
        <v>4</v>
      </c>
      <c r="F10" s="14">
        <f t="shared" si="1"/>
        <v>4</v>
      </c>
      <c r="G10" s="14">
        <f t="shared" si="2"/>
        <v>4</v>
      </c>
      <c r="H10" s="14" t="str">
        <f t="shared" si="3"/>
        <v>OK</v>
      </c>
      <c r="I10" s="12">
        <v>662</v>
      </c>
      <c r="J10" s="12">
        <v>906</v>
      </c>
      <c r="K10" s="16">
        <v>414093815559141</v>
      </c>
      <c r="L10" s="12">
        <v>9</v>
      </c>
      <c r="M10" s="12">
        <v>25</v>
      </c>
      <c r="N10" s="12">
        <v>1</v>
      </c>
      <c r="O10" s="12">
        <v>25</v>
      </c>
      <c r="P10" s="12">
        <f t="shared" si="4"/>
        <v>4</v>
      </c>
      <c r="Q10" s="12">
        <v>4</v>
      </c>
      <c r="R10" s="12">
        <v>4.1879999999999997</v>
      </c>
      <c r="S10" s="12">
        <v>6</v>
      </c>
      <c r="T10" s="12">
        <v>250</v>
      </c>
      <c r="U10" s="15">
        <v>253.75277500000001</v>
      </c>
      <c r="V10" s="15">
        <v>1.4252350499999999</v>
      </c>
      <c r="W10" s="28">
        <f t="shared" si="5"/>
        <v>0</v>
      </c>
      <c r="X10" s="12"/>
      <c r="Y10" s="18" t="s">
        <v>26</v>
      </c>
      <c r="Z10" s="18" t="s">
        <v>26</v>
      </c>
      <c r="AA10" s="18">
        <v>4</v>
      </c>
      <c r="AB10" s="19">
        <v>8.2899999999999991</v>
      </c>
      <c r="AC10" s="28">
        <f t="shared" si="6"/>
        <v>0</v>
      </c>
      <c r="AD10">
        <v>1</v>
      </c>
      <c r="AE10">
        <v>3695.8330000000001</v>
      </c>
      <c r="AF10">
        <v>3695.8330000000001</v>
      </c>
      <c r="AG10">
        <v>24</v>
      </c>
      <c r="AH10">
        <v>24</v>
      </c>
      <c r="AI10">
        <v>24</v>
      </c>
      <c r="AJ10">
        <f t="shared" si="7"/>
        <v>5</v>
      </c>
      <c r="AK10">
        <v>5</v>
      </c>
      <c r="AL10">
        <v>269.61</v>
      </c>
      <c r="AM10">
        <v>57.6</v>
      </c>
      <c r="AN10">
        <v>23</v>
      </c>
      <c r="AO10">
        <v>23</v>
      </c>
      <c r="AP10">
        <v>23</v>
      </c>
      <c r="AQ10">
        <f t="shared" si="8"/>
        <v>4.75</v>
      </c>
    </row>
    <row r="11" spans="1:43" ht="13">
      <c r="A11" s="12" t="s">
        <v>127</v>
      </c>
      <c r="B11" s="13" t="s">
        <v>161</v>
      </c>
      <c r="C11" s="12">
        <v>638</v>
      </c>
      <c r="D11" s="12">
        <v>1272</v>
      </c>
      <c r="E11" s="14">
        <f t="shared" si="0"/>
        <v>2</v>
      </c>
      <c r="F11" s="14">
        <f t="shared" si="1"/>
        <v>2</v>
      </c>
      <c r="G11" s="14">
        <f t="shared" si="2"/>
        <v>2</v>
      </c>
      <c r="H11" s="14" t="str">
        <f t="shared" si="3"/>
        <v>OK</v>
      </c>
      <c r="I11" s="12">
        <v>638</v>
      </c>
      <c r="J11" s="12">
        <v>1272</v>
      </c>
      <c r="K11" s="16">
        <v>625975010211463</v>
      </c>
      <c r="L11" s="12">
        <v>4</v>
      </c>
      <c r="M11" s="12">
        <v>318</v>
      </c>
      <c r="N11" s="12">
        <v>1</v>
      </c>
      <c r="O11" s="12">
        <v>25</v>
      </c>
      <c r="P11" s="12">
        <f t="shared" si="4"/>
        <v>2</v>
      </c>
      <c r="Q11" s="12">
        <v>2</v>
      </c>
      <c r="R11" s="12">
        <v>2.8279999999999998</v>
      </c>
      <c r="S11" s="12">
        <v>3</v>
      </c>
      <c r="T11" s="12">
        <v>250</v>
      </c>
      <c r="U11" s="15">
        <v>102.642189</v>
      </c>
      <c r="V11" s="15">
        <v>1.60977796</v>
      </c>
      <c r="W11" s="28">
        <f t="shared" si="5"/>
        <v>0</v>
      </c>
      <c r="X11" s="12"/>
      <c r="Y11" s="12" t="s">
        <v>26</v>
      </c>
      <c r="Z11" s="12" t="s">
        <v>26</v>
      </c>
      <c r="AA11" s="12">
        <v>2</v>
      </c>
      <c r="AB11" s="17">
        <v>15051.38</v>
      </c>
      <c r="AC11" s="28">
        <f t="shared" si="6"/>
        <v>0</v>
      </c>
      <c r="AD11">
        <v>1</v>
      </c>
      <c r="AE11">
        <v>3688.0160000000001</v>
      </c>
      <c r="AF11">
        <v>3688.0160000000001</v>
      </c>
      <c r="AG11">
        <v>24</v>
      </c>
      <c r="AH11">
        <v>24</v>
      </c>
      <c r="AI11">
        <v>24</v>
      </c>
      <c r="AJ11">
        <f t="shared" si="7"/>
        <v>11</v>
      </c>
      <c r="AK11">
        <v>5</v>
      </c>
      <c r="AL11">
        <v>1680.41</v>
      </c>
      <c r="AM11">
        <v>351.25</v>
      </c>
      <c r="AN11">
        <v>23</v>
      </c>
      <c r="AO11">
        <v>23</v>
      </c>
      <c r="AP11">
        <v>23</v>
      </c>
      <c r="AQ11">
        <f t="shared" si="8"/>
        <v>10.5</v>
      </c>
    </row>
    <row r="12" spans="1:43" ht="13">
      <c r="A12" s="12" t="s">
        <v>127</v>
      </c>
      <c r="B12" s="13" t="s">
        <v>160</v>
      </c>
      <c r="C12" s="12">
        <v>494</v>
      </c>
      <c r="D12" s="12">
        <v>586</v>
      </c>
      <c r="E12" s="14">
        <f t="shared" si="0"/>
        <v>3</v>
      </c>
      <c r="F12" s="14">
        <f t="shared" si="1"/>
        <v>3</v>
      </c>
      <c r="G12" s="14">
        <f t="shared" si="2"/>
        <v>3</v>
      </c>
      <c r="H12" s="14" t="str">
        <f t="shared" si="3"/>
        <v>OK</v>
      </c>
      <c r="I12" s="12">
        <v>494</v>
      </c>
      <c r="J12" s="12">
        <v>586</v>
      </c>
      <c r="K12" s="16">
        <v>481231163413292</v>
      </c>
      <c r="L12" s="12">
        <v>9</v>
      </c>
      <c r="M12" s="12">
        <v>26</v>
      </c>
      <c r="N12" s="12">
        <v>1</v>
      </c>
      <c r="O12" s="12">
        <v>22</v>
      </c>
      <c r="P12" s="12">
        <f t="shared" si="4"/>
        <v>3</v>
      </c>
      <c r="Q12" s="12">
        <v>3</v>
      </c>
      <c r="R12" s="12">
        <v>3.9</v>
      </c>
      <c r="S12" s="12">
        <v>4</v>
      </c>
      <c r="T12" s="12">
        <v>250</v>
      </c>
      <c r="U12" s="15">
        <v>112.141437</v>
      </c>
      <c r="V12" s="15">
        <v>13.4261497</v>
      </c>
      <c r="W12" s="28">
        <f t="shared" si="5"/>
        <v>0</v>
      </c>
      <c r="X12" s="12"/>
      <c r="Y12" s="18" t="s">
        <v>26</v>
      </c>
      <c r="Z12" s="18" t="s">
        <v>26</v>
      </c>
      <c r="AA12" s="18">
        <v>3</v>
      </c>
      <c r="AB12" s="19">
        <v>9.2100000000000009</v>
      </c>
      <c r="AC12" s="28">
        <f t="shared" si="6"/>
        <v>0</v>
      </c>
      <c r="AD12">
        <v>1</v>
      </c>
      <c r="AE12">
        <v>3610.4549999999999</v>
      </c>
      <c r="AF12">
        <v>3610.4549999999999</v>
      </c>
      <c r="AG12">
        <v>20</v>
      </c>
      <c r="AH12">
        <v>20</v>
      </c>
      <c r="AI12">
        <v>20</v>
      </c>
      <c r="AJ12">
        <f t="shared" si="7"/>
        <v>5.666666666666667</v>
      </c>
      <c r="AK12">
        <v>5</v>
      </c>
      <c r="AL12">
        <v>6.45</v>
      </c>
      <c r="AM12">
        <v>1.3</v>
      </c>
      <c r="AN12">
        <v>17</v>
      </c>
      <c r="AO12">
        <v>18.8</v>
      </c>
      <c r="AP12">
        <v>20</v>
      </c>
      <c r="AQ12">
        <f t="shared" si="8"/>
        <v>4.666666666666667</v>
      </c>
    </row>
    <row r="13" spans="1:43" ht="13">
      <c r="A13" s="12" t="s">
        <v>127</v>
      </c>
      <c r="B13" s="13" t="s">
        <v>159</v>
      </c>
      <c r="C13" s="12">
        <v>467</v>
      </c>
      <c r="D13" s="12">
        <v>1295</v>
      </c>
      <c r="E13" s="14">
        <f t="shared" si="0"/>
        <v>2</v>
      </c>
      <c r="F13" s="14">
        <f t="shared" si="1"/>
        <v>3</v>
      </c>
      <c r="G13" s="14">
        <f t="shared" si="2"/>
        <v>2</v>
      </c>
      <c r="H13" s="14" t="str">
        <f t="shared" si="3"/>
        <v>OK</v>
      </c>
      <c r="I13" s="12">
        <v>467</v>
      </c>
      <c r="J13" s="12">
        <v>1295</v>
      </c>
      <c r="K13" s="16">
        <v>119013702658739</v>
      </c>
      <c r="L13" s="12">
        <v>10</v>
      </c>
      <c r="M13" s="12">
        <v>78</v>
      </c>
      <c r="N13" s="12">
        <v>1</v>
      </c>
      <c r="O13" s="12">
        <v>21</v>
      </c>
      <c r="P13" s="12">
        <f t="shared" si="4"/>
        <v>2</v>
      </c>
      <c r="Q13" s="12">
        <v>3</v>
      </c>
      <c r="R13" s="12">
        <v>3.1320000000000001</v>
      </c>
      <c r="S13" s="12">
        <v>4</v>
      </c>
      <c r="T13" s="12">
        <v>250</v>
      </c>
      <c r="U13" s="15">
        <v>85.415385299999997</v>
      </c>
      <c r="V13" s="15">
        <v>1.36410863</v>
      </c>
      <c r="W13" s="28">
        <f t="shared" si="5"/>
        <v>0.5</v>
      </c>
      <c r="X13" s="12"/>
      <c r="Y13" s="12" t="s">
        <v>26</v>
      </c>
      <c r="Z13" s="12" t="s">
        <v>26</v>
      </c>
      <c r="AA13" s="12">
        <v>2</v>
      </c>
      <c r="AB13" s="19">
        <v>55.89</v>
      </c>
      <c r="AC13" s="28">
        <f t="shared" si="6"/>
        <v>0</v>
      </c>
      <c r="AD13">
        <v>1</v>
      </c>
      <c r="AE13">
        <v>3653.8139999999999</v>
      </c>
      <c r="AF13">
        <v>3653.8139999999999</v>
      </c>
      <c r="AG13">
        <v>20</v>
      </c>
      <c r="AH13">
        <v>20</v>
      </c>
      <c r="AI13">
        <v>20</v>
      </c>
      <c r="AJ13">
        <f t="shared" si="7"/>
        <v>9</v>
      </c>
      <c r="AK13">
        <v>5</v>
      </c>
      <c r="AL13">
        <v>9654.4699999999993</v>
      </c>
      <c r="AM13">
        <v>1916.14</v>
      </c>
      <c r="AN13">
        <v>20</v>
      </c>
      <c r="AO13">
        <v>20</v>
      </c>
      <c r="AP13">
        <v>20</v>
      </c>
      <c r="AQ13">
        <f t="shared" si="8"/>
        <v>5.666666666666667</v>
      </c>
    </row>
    <row r="14" spans="1:43" ht="13">
      <c r="A14" s="12" t="s">
        <v>127</v>
      </c>
      <c r="B14" s="13" t="s">
        <v>158</v>
      </c>
      <c r="C14" s="12">
        <v>443</v>
      </c>
      <c r="D14" s="12">
        <v>590</v>
      </c>
      <c r="E14" s="14">
        <f t="shared" si="0"/>
        <v>3</v>
      </c>
      <c r="F14" s="14">
        <f t="shared" si="1"/>
        <v>3</v>
      </c>
      <c r="G14" s="14">
        <f t="shared" si="2"/>
        <v>3</v>
      </c>
      <c r="H14" s="14" t="str">
        <f t="shared" si="3"/>
        <v>OK</v>
      </c>
      <c r="I14" s="12">
        <v>443</v>
      </c>
      <c r="J14" s="12">
        <v>590</v>
      </c>
      <c r="K14" s="16">
        <v>602637304270553</v>
      </c>
      <c r="L14" s="12">
        <v>9</v>
      </c>
      <c r="M14" s="12">
        <v>20</v>
      </c>
      <c r="N14" s="12">
        <v>2</v>
      </c>
      <c r="O14" s="12">
        <v>21</v>
      </c>
      <c r="P14" s="12">
        <f t="shared" si="4"/>
        <v>3</v>
      </c>
      <c r="Q14" s="12">
        <v>3</v>
      </c>
      <c r="R14" s="12">
        <v>3.7080000000000002</v>
      </c>
      <c r="S14" s="12">
        <v>5</v>
      </c>
      <c r="T14" s="12">
        <v>250</v>
      </c>
      <c r="U14" s="15">
        <v>87.946392099999997</v>
      </c>
      <c r="V14" s="15">
        <v>3.1013831700000001</v>
      </c>
      <c r="W14" s="28">
        <f t="shared" si="5"/>
        <v>0</v>
      </c>
      <c r="X14" s="12"/>
      <c r="Y14" s="18" t="s">
        <v>26</v>
      </c>
      <c r="Z14" s="18" t="s">
        <v>26</v>
      </c>
      <c r="AA14" s="18">
        <v>3</v>
      </c>
      <c r="AB14" s="19">
        <v>7.49</v>
      </c>
      <c r="AC14" s="28">
        <f t="shared" si="6"/>
        <v>0</v>
      </c>
      <c r="AD14">
        <v>1</v>
      </c>
      <c r="AE14">
        <v>3606.5940000000001</v>
      </c>
      <c r="AF14">
        <v>3606.5940000000001</v>
      </c>
      <c r="AG14">
        <v>18</v>
      </c>
      <c r="AH14">
        <v>18</v>
      </c>
      <c r="AI14">
        <v>18</v>
      </c>
      <c r="AJ14">
        <f t="shared" si="7"/>
        <v>5</v>
      </c>
      <c r="AK14">
        <v>5</v>
      </c>
      <c r="AL14">
        <v>96.3</v>
      </c>
      <c r="AM14">
        <v>19.600000000000001</v>
      </c>
      <c r="AN14">
        <v>19</v>
      </c>
      <c r="AO14">
        <v>19</v>
      </c>
      <c r="AP14">
        <v>19</v>
      </c>
      <c r="AQ14">
        <f t="shared" si="8"/>
        <v>5.333333333333333</v>
      </c>
    </row>
    <row r="15" spans="1:43" ht="13">
      <c r="A15" s="12" t="s">
        <v>127</v>
      </c>
      <c r="B15" s="13" t="s">
        <v>260</v>
      </c>
      <c r="C15" s="12">
        <v>361</v>
      </c>
      <c r="D15" s="12">
        <v>1296</v>
      </c>
      <c r="E15" s="14">
        <f t="shared" si="0"/>
        <v>3</v>
      </c>
      <c r="F15" s="14">
        <f t="shared" si="1"/>
        <v>3</v>
      </c>
      <c r="G15" s="14">
        <f t="shared" si="2"/>
        <v>3</v>
      </c>
      <c r="H15" s="14" t="str">
        <f t="shared" si="3"/>
        <v>OK</v>
      </c>
      <c r="I15" s="12">
        <v>361</v>
      </c>
      <c r="J15" s="12">
        <v>1296</v>
      </c>
      <c r="K15" s="16">
        <v>199445983379501</v>
      </c>
      <c r="L15" s="12">
        <v>8</v>
      </c>
      <c r="M15" s="12">
        <v>30</v>
      </c>
      <c r="N15" s="12">
        <v>1</v>
      </c>
      <c r="O15" s="12">
        <v>18</v>
      </c>
      <c r="P15" s="12">
        <f t="shared" si="4"/>
        <v>3</v>
      </c>
      <c r="Q15" s="12">
        <v>3</v>
      </c>
      <c r="R15" s="12">
        <v>4.016</v>
      </c>
      <c r="S15" s="12">
        <v>5</v>
      </c>
      <c r="T15" s="12">
        <v>250</v>
      </c>
      <c r="U15" s="15">
        <v>96.731119800000002</v>
      </c>
      <c r="V15" s="15">
        <v>36.830165100000002</v>
      </c>
      <c r="W15" s="28">
        <f t="shared" si="5"/>
        <v>0</v>
      </c>
      <c r="X15" s="12"/>
      <c r="Y15" s="18" t="s">
        <v>26</v>
      </c>
      <c r="Z15" s="18" t="s">
        <v>26</v>
      </c>
      <c r="AA15" s="18">
        <v>3</v>
      </c>
      <c r="AB15" s="19">
        <v>78.989999999999995</v>
      </c>
      <c r="AC15" s="28">
        <f t="shared" si="6"/>
        <v>0</v>
      </c>
      <c r="AD15">
        <v>3</v>
      </c>
      <c r="AE15">
        <v>3615.6990000000001</v>
      </c>
      <c r="AF15">
        <v>1295.0160000000001</v>
      </c>
      <c r="AG15">
        <v>18</v>
      </c>
      <c r="AH15">
        <v>18</v>
      </c>
      <c r="AI15">
        <v>18</v>
      </c>
      <c r="AJ15">
        <f t="shared" si="7"/>
        <v>5</v>
      </c>
      <c r="AK15">
        <v>5</v>
      </c>
      <c r="AL15">
        <v>10.79</v>
      </c>
      <c r="AM15">
        <v>2.13</v>
      </c>
      <c r="AN15">
        <v>18</v>
      </c>
      <c r="AO15">
        <v>18</v>
      </c>
      <c r="AP15">
        <v>18</v>
      </c>
      <c r="AQ15">
        <f t="shared" si="8"/>
        <v>5</v>
      </c>
    </row>
    <row r="16" spans="1:43" ht="13">
      <c r="A16" s="12" t="s">
        <v>127</v>
      </c>
      <c r="B16" s="13" t="s">
        <v>261</v>
      </c>
      <c r="C16" s="12">
        <v>310</v>
      </c>
      <c r="D16" s="12">
        <v>1069</v>
      </c>
      <c r="E16" s="14">
        <f t="shared" si="0"/>
        <v>3</v>
      </c>
      <c r="F16" s="14">
        <f t="shared" si="1"/>
        <v>3</v>
      </c>
      <c r="G16" s="14">
        <f t="shared" si="2"/>
        <v>3</v>
      </c>
      <c r="H16" s="14" t="str">
        <f t="shared" si="3"/>
        <v>OK</v>
      </c>
      <c r="I16" s="12">
        <v>310</v>
      </c>
      <c r="J16" s="12">
        <v>1069</v>
      </c>
      <c r="K16" s="16">
        <v>22319657584299</v>
      </c>
      <c r="L16" s="12">
        <v>10</v>
      </c>
      <c r="M16" s="12">
        <v>39</v>
      </c>
      <c r="N16" s="12">
        <v>1</v>
      </c>
      <c r="O16" s="12">
        <v>17</v>
      </c>
      <c r="P16" s="12">
        <f t="shared" si="4"/>
        <v>3</v>
      </c>
      <c r="Q16" s="12">
        <v>3</v>
      </c>
      <c r="R16" s="12">
        <v>3.2679999999999998</v>
      </c>
      <c r="S16" s="12">
        <v>4</v>
      </c>
      <c r="T16" s="12">
        <v>250</v>
      </c>
      <c r="U16" s="15">
        <v>56.019584399999999</v>
      </c>
      <c r="V16" s="15">
        <v>0.69351090000000004</v>
      </c>
      <c r="W16" s="28">
        <f t="shared" si="5"/>
        <v>0</v>
      </c>
      <c r="X16" s="12"/>
      <c r="Y16" s="12" t="s">
        <v>26</v>
      </c>
      <c r="Z16" s="12" t="s">
        <v>26</v>
      </c>
      <c r="AA16" s="18">
        <v>3</v>
      </c>
      <c r="AB16" s="19">
        <v>38.479999999999997</v>
      </c>
      <c r="AC16" s="28">
        <f t="shared" si="6"/>
        <v>0</v>
      </c>
      <c r="AD16">
        <v>5</v>
      </c>
      <c r="AE16">
        <v>3601.58</v>
      </c>
      <c r="AF16">
        <v>973.82500000000005</v>
      </c>
      <c r="AG16">
        <v>16</v>
      </c>
      <c r="AH16">
        <v>16.2</v>
      </c>
      <c r="AI16">
        <v>17</v>
      </c>
      <c r="AJ16">
        <f t="shared" si="7"/>
        <v>4.333333333333333</v>
      </c>
      <c r="AK16">
        <v>5</v>
      </c>
      <c r="AL16">
        <v>9.8699999999999992</v>
      </c>
      <c r="AM16">
        <v>4.03</v>
      </c>
      <c r="AN16">
        <v>17</v>
      </c>
      <c r="AO16">
        <v>17</v>
      </c>
      <c r="AP16">
        <v>17</v>
      </c>
      <c r="AQ16">
        <f t="shared" si="8"/>
        <v>4.666666666666667</v>
      </c>
    </row>
    <row r="17" spans="1:43" ht="13">
      <c r="A17" s="12" t="s">
        <v>127</v>
      </c>
      <c r="B17" s="13" t="s">
        <v>156</v>
      </c>
      <c r="C17" s="12">
        <v>292</v>
      </c>
      <c r="D17" s="12">
        <v>958</v>
      </c>
      <c r="E17" s="14">
        <f t="shared" si="0"/>
        <v>3</v>
      </c>
      <c r="F17" s="14">
        <f t="shared" si="1"/>
        <v>3</v>
      </c>
      <c r="G17" s="14">
        <f t="shared" si="2"/>
        <v>3</v>
      </c>
      <c r="H17" s="14" t="str">
        <f t="shared" si="3"/>
        <v>OK</v>
      </c>
      <c r="I17" s="12">
        <v>292</v>
      </c>
      <c r="J17" s="12">
        <v>958</v>
      </c>
      <c r="K17" s="16">
        <v>225486042461046</v>
      </c>
      <c r="L17" s="12">
        <v>13</v>
      </c>
      <c r="M17" s="12">
        <v>25</v>
      </c>
      <c r="N17" s="12">
        <v>1</v>
      </c>
      <c r="O17" s="12">
        <v>17</v>
      </c>
      <c r="P17" s="12">
        <f t="shared" si="4"/>
        <v>3</v>
      </c>
      <c r="Q17" s="12">
        <v>3</v>
      </c>
      <c r="R17" s="12">
        <v>3.4079999999999999</v>
      </c>
      <c r="S17" s="12">
        <v>4</v>
      </c>
      <c r="T17" s="12">
        <v>250</v>
      </c>
      <c r="U17" s="15">
        <v>57.392481199999999</v>
      </c>
      <c r="V17" s="15">
        <v>0.78776102999999997</v>
      </c>
      <c r="W17" s="28">
        <f t="shared" si="5"/>
        <v>0</v>
      </c>
      <c r="X17" s="12"/>
      <c r="Y17" s="12" t="s">
        <v>26</v>
      </c>
      <c r="Z17" s="12" t="s">
        <v>26</v>
      </c>
      <c r="AA17" s="18">
        <v>3</v>
      </c>
      <c r="AB17" s="19">
        <v>4.0999999999999996</v>
      </c>
      <c r="AC17" s="28">
        <f t="shared" si="6"/>
        <v>0</v>
      </c>
      <c r="AD17">
        <v>6</v>
      </c>
      <c r="AE17">
        <v>3603.5880000000002</v>
      </c>
      <c r="AF17">
        <v>741.03</v>
      </c>
      <c r="AG17">
        <v>16</v>
      </c>
      <c r="AH17">
        <v>16</v>
      </c>
      <c r="AI17">
        <v>16</v>
      </c>
      <c r="AJ17">
        <f t="shared" si="7"/>
        <v>4.333333333333333</v>
      </c>
      <c r="AK17">
        <v>5</v>
      </c>
      <c r="AL17">
        <v>9.43</v>
      </c>
      <c r="AM17">
        <v>7.52</v>
      </c>
      <c r="AN17">
        <v>17</v>
      </c>
      <c r="AO17">
        <v>17</v>
      </c>
      <c r="AP17">
        <v>17</v>
      </c>
      <c r="AQ17">
        <f t="shared" si="8"/>
        <v>4.666666666666667</v>
      </c>
    </row>
    <row r="18" spans="1:43" ht="13">
      <c r="A18" s="12" t="s">
        <v>127</v>
      </c>
      <c r="B18" s="13" t="s">
        <v>155</v>
      </c>
      <c r="C18" s="12">
        <v>274</v>
      </c>
      <c r="D18" s="12">
        <v>669</v>
      </c>
      <c r="E18" s="14">
        <f t="shared" si="0"/>
        <v>3</v>
      </c>
      <c r="F18" s="14">
        <f t="shared" si="1"/>
        <v>3</v>
      </c>
      <c r="G18" s="14">
        <f t="shared" si="2"/>
        <v>3</v>
      </c>
      <c r="H18" s="14" t="str">
        <f t="shared" si="3"/>
        <v>OK</v>
      </c>
      <c r="I18" s="12">
        <v>274</v>
      </c>
      <c r="J18" s="12">
        <v>669</v>
      </c>
      <c r="K18" s="16">
        <v>178872222667843</v>
      </c>
      <c r="L18" s="12">
        <v>15</v>
      </c>
      <c r="M18" s="12">
        <v>20</v>
      </c>
      <c r="N18" s="12">
        <v>1</v>
      </c>
      <c r="O18" s="12">
        <v>16</v>
      </c>
      <c r="P18" s="12">
        <f t="shared" si="4"/>
        <v>3</v>
      </c>
      <c r="Q18" s="12">
        <v>3</v>
      </c>
      <c r="R18" s="12">
        <v>3.7480000000000002</v>
      </c>
      <c r="S18" s="12">
        <v>4</v>
      </c>
      <c r="T18" s="12">
        <v>250</v>
      </c>
      <c r="U18" s="15">
        <v>55.223094400000001</v>
      </c>
      <c r="V18" s="15">
        <v>0.85305014000000001</v>
      </c>
      <c r="W18" s="28">
        <f t="shared" si="5"/>
        <v>0</v>
      </c>
      <c r="X18" s="12"/>
      <c r="Y18" s="18" t="s">
        <v>26</v>
      </c>
      <c r="Z18" s="18" t="s">
        <v>26</v>
      </c>
      <c r="AA18" s="18">
        <v>3</v>
      </c>
      <c r="AB18" s="19">
        <v>380.8</v>
      </c>
      <c r="AC18" s="28">
        <f t="shared" si="6"/>
        <v>0</v>
      </c>
      <c r="AD18">
        <v>7</v>
      </c>
      <c r="AE18">
        <v>3604.7220000000002</v>
      </c>
      <c r="AF18">
        <v>612.58600000000001</v>
      </c>
      <c r="AG18">
        <v>15</v>
      </c>
      <c r="AH18">
        <v>15</v>
      </c>
      <c r="AI18">
        <v>15</v>
      </c>
      <c r="AJ18">
        <f t="shared" si="7"/>
        <v>4</v>
      </c>
      <c r="AK18">
        <v>5</v>
      </c>
      <c r="AL18">
        <v>1038.6400000000001</v>
      </c>
      <c r="AM18">
        <v>408.47</v>
      </c>
      <c r="AN18">
        <v>14</v>
      </c>
      <c r="AO18">
        <v>14.6</v>
      </c>
      <c r="AP18">
        <v>15</v>
      </c>
      <c r="AQ18">
        <f t="shared" si="8"/>
        <v>3.6666666666666665</v>
      </c>
    </row>
    <row r="19" spans="1:43" ht="13">
      <c r="A19" s="12" t="s">
        <v>127</v>
      </c>
      <c r="B19" s="13" t="s">
        <v>262</v>
      </c>
      <c r="C19" s="12">
        <v>245</v>
      </c>
      <c r="D19" s="12">
        <v>608</v>
      </c>
      <c r="E19" s="14">
        <f t="shared" si="0"/>
        <v>3</v>
      </c>
      <c r="F19" s="14">
        <f t="shared" si="1"/>
        <v>3</v>
      </c>
      <c r="G19" s="14">
        <f t="shared" si="2"/>
        <v>3</v>
      </c>
      <c r="H19" s="14" t="str">
        <f t="shared" si="3"/>
        <v>OK</v>
      </c>
      <c r="I19" s="12">
        <v>245</v>
      </c>
      <c r="J19" s="12">
        <v>608</v>
      </c>
      <c r="K19" s="16">
        <v>203412512546002</v>
      </c>
      <c r="L19" s="12">
        <v>12</v>
      </c>
      <c r="M19" s="12">
        <v>17</v>
      </c>
      <c r="N19" s="12">
        <v>1</v>
      </c>
      <c r="O19" s="12">
        <v>15</v>
      </c>
      <c r="P19" s="12">
        <f t="shared" si="4"/>
        <v>3</v>
      </c>
      <c r="Q19" s="12">
        <v>3</v>
      </c>
      <c r="R19" s="12">
        <v>3.8279999999999998</v>
      </c>
      <c r="S19" s="12">
        <v>4</v>
      </c>
      <c r="T19" s="12">
        <v>250</v>
      </c>
      <c r="U19" s="15">
        <v>46.160533899999997</v>
      </c>
      <c r="V19" s="15">
        <v>0.76201474000000002</v>
      </c>
      <c r="W19" s="28">
        <f t="shared" si="5"/>
        <v>0</v>
      </c>
      <c r="X19" s="12"/>
      <c r="Y19" s="18" t="s">
        <v>26</v>
      </c>
      <c r="Z19" s="18" t="s">
        <v>26</v>
      </c>
      <c r="AA19" s="18">
        <v>3</v>
      </c>
      <c r="AB19" s="19">
        <v>64.37</v>
      </c>
      <c r="AC19" s="28">
        <f t="shared" si="6"/>
        <v>0</v>
      </c>
      <c r="AD19">
        <v>13</v>
      </c>
      <c r="AE19">
        <v>3600.66</v>
      </c>
      <c r="AF19">
        <v>294.685</v>
      </c>
      <c r="AG19">
        <v>14</v>
      </c>
      <c r="AH19">
        <v>14</v>
      </c>
      <c r="AI19">
        <v>14</v>
      </c>
      <c r="AJ19">
        <f t="shared" si="7"/>
        <v>3.6666666666666665</v>
      </c>
      <c r="AK19">
        <v>5</v>
      </c>
      <c r="AL19">
        <v>1419.37</v>
      </c>
      <c r="AM19">
        <v>293.95999999999998</v>
      </c>
      <c r="AN19">
        <v>13</v>
      </c>
      <c r="AO19">
        <v>13.6</v>
      </c>
      <c r="AP19">
        <v>14</v>
      </c>
      <c r="AQ19">
        <f t="shared" si="8"/>
        <v>3.3333333333333335</v>
      </c>
    </row>
    <row r="20" spans="1:43" ht="13">
      <c r="A20" s="12" t="s">
        <v>127</v>
      </c>
      <c r="B20" s="13" t="s">
        <v>263</v>
      </c>
      <c r="C20" s="12">
        <v>221</v>
      </c>
      <c r="D20" s="12">
        <v>704</v>
      </c>
      <c r="E20" s="14">
        <f t="shared" si="0"/>
        <v>3</v>
      </c>
      <c r="F20" s="14">
        <f t="shared" si="1"/>
        <v>3</v>
      </c>
      <c r="G20" s="14">
        <f t="shared" si="2"/>
        <v>3</v>
      </c>
      <c r="H20" s="14" t="str">
        <f t="shared" si="3"/>
        <v>OK</v>
      </c>
      <c r="I20" s="12">
        <v>221</v>
      </c>
      <c r="J20" s="12">
        <v>704</v>
      </c>
      <c r="K20" s="16">
        <v>289592760180995</v>
      </c>
      <c r="L20" s="12">
        <v>11</v>
      </c>
      <c r="M20" s="12">
        <v>27</v>
      </c>
      <c r="N20" s="12">
        <v>1</v>
      </c>
      <c r="O20" s="12">
        <v>14</v>
      </c>
      <c r="P20" s="12">
        <f t="shared" si="4"/>
        <v>3</v>
      </c>
      <c r="Q20" s="12">
        <v>3</v>
      </c>
      <c r="R20" s="12">
        <v>3.2280000000000002</v>
      </c>
      <c r="S20" s="12">
        <v>4</v>
      </c>
      <c r="T20" s="12">
        <v>250</v>
      </c>
      <c r="U20" s="15">
        <v>33.730564800000003</v>
      </c>
      <c r="V20" s="15">
        <v>0.11852321</v>
      </c>
      <c r="W20" s="28">
        <f t="shared" si="5"/>
        <v>0</v>
      </c>
      <c r="X20" s="12"/>
      <c r="Y20" s="18" t="s">
        <v>26</v>
      </c>
      <c r="Z20" s="18" t="s">
        <v>26</v>
      </c>
      <c r="AA20" s="18">
        <v>3</v>
      </c>
      <c r="AB20" s="19">
        <v>9.43</v>
      </c>
      <c r="AC20" s="28">
        <f t="shared" si="6"/>
        <v>0</v>
      </c>
      <c r="AD20">
        <v>17</v>
      </c>
      <c r="AE20">
        <v>3600.0039999999999</v>
      </c>
      <c r="AF20">
        <v>1015.552</v>
      </c>
      <c r="AG20">
        <v>13</v>
      </c>
      <c r="AH20">
        <v>13.59</v>
      </c>
      <c r="AI20">
        <v>14</v>
      </c>
      <c r="AJ20">
        <f t="shared" si="7"/>
        <v>3.3333333333333335</v>
      </c>
      <c r="AK20">
        <v>5</v>
      </c>
      <c r="AL20">
        <v>8.36</v>
      </c>
      <c r="AM20">
        <v>6.63</v>
      </c>
      <c r="AN20">
        <v>9</v>
      </c>
      <c r="AO20">
        <v>10.4</v>
      </c>
      <c r="AP20">
        <v>13</v>
      </c>
      <c r="AQ20">
        <f t="shared" si="8"/>
        <v>2</v>
      </c>
    </row>
    <row r="21" spans="1:43" ht="13">
      <c r="A21" s="12" t="s">
        <v>127</v>
      </c>
      <c r="B21" s="13" t="s">
        <v>264</v>
      </c>
      <c r="C21" s="12">
        <v>209</v>
      </c>
      <c r="D21" s="12">
        <v>767</v>
      </c>
      <c r="E21" s="14">
        <f t="shared" si="0"/>
        <v>4</v>
      </c>
      <c r="F21" s="14">
        <f t="shared" si="1"/>
        <v>4</v>
      </c>
      <c r="G21" s="14">
        <f t="shared" si="2"/>
        <v>4</v>
      </c>
      <c r="H21" s="14" t="str">
        <f t="shared" si="3"/>
        <v>OK</v>
      </c>
      <c r="I21" s="12">
        <v>209</v>
      </c>
      <c r="J21" s="12">
        <v>767</v>
      </c>
      <c r="K21" s="16">
        <v>352870813397129</v>
      </c>
      <c r="L21" s="12">
        <v>16</v>
      </c>
      <c r="M21" s="12">
        <v>12</v>
      </c>
      <c r="N21" s="12">
        <v>2</v>
      </c>
      <c r="O21" s="12">
        <v>14</v>
      </c>
      <c r="P21" s="12">
        <f t="shared" si="4"/>
        <v>4</v>
      </c>
      <c r="Q21" s="12">
        <v>4</v>
      </c>
      <c r="R21" s="12">
        <v>4.1280000000000001</v>
      </c>
      <c r="S21" s="12">
        <v>5</v>
      </c>
      <c r="T21" s="12">
        <v>250</v>
      </c>
      <c r="U21" s="15">
        <v>54.335508900000001</v>
      </c>
      <c r="V21" s="15">
        <v>0.20025670000000001</v>
      </c>
      <c r="W21" s="28">
        <f t="shared" si="5"/>
        <v>0</v>
      </c>
      <c r="X21" s="12"/>
      <c r="Y21" s="18" t="s">
        <v>26</v>
      </c>
      <c r="Z21" s="18" t="s">
        <v>26</v>
      </c>
      <c r="AA21" s="18">
        <v>4</v>
      </c>
      <c r="AB21" s="19">
        <v>100.35</v>
      </c>
      <c r="AC21" s="28">
        <f t="shared" si="6"/>
        <v>0</v>
      </c>
      <c r="AD21">
        <v>18</v>
      </c>
      <c r="AE21">
        <v>3600.288</v>
      </c>
      <c r="AF21">
        <v>193.63499999999999</v>
      </c>
      <c r="AG21">
        <v>13</v>
      </c>
      <c r="AH21">
        <v>13.06</v>
      </c>
      <c r="AI21">
        <v>14</v>
      </c>
      <c r="AJ21">
        <f t="shared" si="7"/>
        <v>2.25</v>
      </c>
      <c r="AK21">
        <v>5</v>
      </c>
      <c r="AL21">
        <v>9.85</v>
      </c>
      <c r="AM21">
        <v>9.85</v>
      </c>
      <c r="AN21">
        <v>13</v>
      </c>
      <c r="AO21">
        <v>13</v>
      </c>
      <c r="AP21">
        <v>13</v>
      </c>
      <c r="AQ21">
        <f t="shared" si="8"/>
        <v>2.25</v>
      </c>
    </row>
    <row r="22" spans="1:43" ht="13">
      <c r="A22" s="12" t="s">
        <v>127</v>
      </c>
      <c r="B22" s="13" t="s">
        <v>154</v>
      </c>
      <c r="C22" s="12">
        <v>199</v>
      </c>
      <c r="D22" s="12">
        <v>660</v>
      </c>
      <c r="E22" s="14">
        <f t="shared" si="0"/>
        <v>6</v>
      </c>
      <c r="F22" s="14">
        <f t="shared" si="1"/>
        <v>6</v>
      </c>
      <c r="G22" s="14">
        <f t="shared" si="2"/>
        <v>14</v>
      </c>
      <c r="H22" s="14" t="str">
        <f t="shared" si="3"/>
        <v>CHECK</v>
      </c>
      <c r="I22" s="12">
        <v>199</v>
      </c>
      <c r="J22" s="12">
        <v>660</v>
      </c>
      <c r="K22" s="16">
        <v>33500837520938</v>
      </c>
      <c r="L22" s="12">
        <v>13</v>
      </c>
      <c r="M22" s="12">
        <v>5</v>
      </c>
      <c r="N22" s="12">
        <v>3</v>
      </c>
      <c r="O22" s="12">
        <v>14</v>
      </c>
      <c r="P22" s="12">
        <f t="shared" si="4"/>
        <v>6</v>
      </c>
      <c r="Q22" s="12">
        <v>6</v>
      </c>
      <c r="R22" s="12">
        <v>6.2960000000000003</v>
      </c>
      <c r="S22" s="12">
        <v>7</v>
      </c>
      <c r="T22" s="12">
        <v>250</v>
      </c>
      <c r="U22" s="15">
        <v>67.380096499999993</v>
      </c>
      <c r="V22" s="15">
        <v>0.736649</v>
      </c>
      <c r="W22" s="28">
        <f t="shared" si="5"/>
        <v>0</v>
      </c>
      <c r="X22" s="12"/>
      <c r="Y22" s="12"/>
      <c r="Z22" s="12"/>
      <c r="AA22" s="12">
        <v>14</v>
      </c>
      <c r="AB22" s="17">
        <v>333903.63</v>
      </c>
      <c r="AC22" s="28">
        <f t="shared" si="6"/>
        <v>1.3333333333333333</v>
      </c>
      <c r="AD22">
        <v>23</v>
      </c>
      <c r="AE22">
        <v>3600.8150000000001</v>
      </c>
      <c r="AF22">
        <v>141.92099999999999</v>
      </c>
      <c r="AG22">
        <v>13</v>
      </c>
      <c r="AH22">
        <v>13</v>
      </c>
      <c r="AI22">
        <v>13</v>
      </c>
      <c r="AJ22">
        <f t="shared" si="7"/>
        <v>1.1666666666666667</v>
      </c>
      <c r="AK22">
        <v>5</v>
      </c>
      <c r="AL22">
        <v>13.03</v>
      </c>
      <c r="AM22">
        <v>5.38</v>
      </c>
      <c r="AN22">
        <v>13</v>
      </c>
      <c r="AO22">
        <v>13.6</v>
      </c>
      <c r="AP22">
        <v>14</v>
      </c>
      <c r="AQ22">
        <f t="shared" si="8"/>
        <v>1.1666666666666667</v>
      </c>
    </row>
    <row r="23" spans="1:43" ht="13">
      <c r="A23" s="12" t="s">
        <v>127</v>
      </c>
      <c r="B23" s="13" t="s">
        <v>265</v>
      </c>
      <c r="C23" s="12">
        <v>185</v>
      </c>
      <c r="D23" s="12">
        <v>650</v>
      </c>
      <c r="E23" s="14">
        <f t="shared" si="0"/>
        <v>3</v>
      </c>
      <c r="F23" s="14">
        <f t="shared" si="1"/>
        <v>3</v>
      </c>
      <c r="G23" s="14">
        <f t="shared" si="2"/>
        <v>3</v>
      </c>
      <c r="H23" s="14" t="str">
        <f t="shared" si="3"/>
        <v>OK</v>
      </c>
      <c r="I23" s="12">
        <v>185</v>
      </c>
      <c r="J23" s="12">
        <v>650</v>
      </c>
      <c r="K23" s="16">
        <v>381903642773208</v>
      </c>
      <c r="L23" s="12">
        <v>8</v>
      </c>
      <c r="M23" s="12">
        <v>14</v>
      </c>
      <c r="N23" s="12">
        <v>1</v>
      </c>
      <c r="O23" s="12">
        <v>13</v>
      </c>
      <c r="P23" s="12">
        <f t="shared" si="4"/>
        <v>3</v>
      </c>
      <c r="Q23" s="12">
        <v>3</v>
      </c>
      <c r="R23" s="12">
        <v>3.6320000000000001</v>
      </c>
      <c r="S23" s="12">
        <v>5</v>
      </c>
      <c r="T23" s="12">
        <v>250</v>
      </c>
      <c r="U23" s="15">
        <v>17.67361571</v>
      </c>
      <c r="V23" s="15">
        <v>6.4417957999999997E-2</v>
      </c>
      <c r="W23" s="28">
        <f t="shared" si="5"/>
        <v>0</v>
      </c>
      <c r="X23" s="12"/>
      <c r="Y23" s="18" t="s">
        <v>26</v>
      </c>
      <c r="Z23" s="18" t="s">
        <v>26</v>
      </c>
      <c r="AA23" s="18">
        <v>3</v>
      </c>
      <c r="AB23" s="19">
        <v>951.27</v>
      </c>
      <c r="AC23" s="28">
        <f t="shared" si="6"/>
        <v>0</v>
      </c>
      <c r="AD23">
        <v>30</v>
      </c>
      <c r="AE23">
        <v>3600.4650000000001</v>
      </c>
      <c r="AF23">
        <v>105.815</v>
      </c>
      <c r="AG23">
        <v>12</v>
      </c>
      <c r="AH23">
        <v>12.17</v>
      </c>
      <c r="AI23">
        <v>13</v>
      </c>
      <c r="AJ23">
        <f t="shared" si="7"/>
        <v>3</v>
      </c>
      <c r="AK23">
        <v>5</v>
      </c>
      <c r="AL23">
        <v>5285.18</v>
      </c>
      <c r="AM23">
        <v>1053.8699999999999</v>
      </c>
      <c r="AN23">
        <v>12</v>
      </c>
      <c r="AO23">
        <v>12</v>
      </c>
      <c r="AP23">
        <v>12</v>
      </c>
      <c r="AQ23">
        <f t="shared" si="8"/>
        <v>3</v>
      </c>
    </row>
    <row r="24" spans="1:43" ht="13">
      <c r="A24" s="12" t="s">
        <v>127</v>
      </c>
      <c r="B24" s="13" t="s">
        <v>153</v>
      </c>
      <c r="C24" s="12">
        <v>183</v>
      </c>
      <c r="D24" s="12">
        <v>701</v>
      </c>
      <c r="E24" s="14">
        <f t="shared" si="0"/>
        <v>6</v>
      </c>
      <c r="F24" s="14">
        <f t="shared" si="1"/>
        <v>6</v>
      </c>
      <c r="G24" s="14">
        <f t="shared" si="2"/>
        <v>6</v>
      </c>
      <c r="H24" s="14" t="str">
        <f t="shared" si="3"/>
        <v>OK</v>
      </c>
      <c r="I24" s="12">
        <v>183</v>
      </c>
      <c r="J24" s="12">
        <v>701</v>
      </c>
      <c r="K24" s="16">
        <v>420945175043536</v>
      </c>
      <c r="L24" s="12">
        <v>104</v>
      </c>
      <c r="M24" s="12">
        <v>5</v>
      </c>
      <c r="N24" s="12">
        <v>3</v>
      </c>
      <c r="O24" s="12">
        <v>13</v>
      </c>
      <c r="P24" s="12">
        <f t="shared" si="4"/>
        <v>6</v>
      </c>
      <c r="Q24" s="12">
        <v>6</v>
      </c>
      <c r="R24" s="12">
        <v>6.452</v>
      </c>
      <c r="S24" s="12">
        <v>7</v>
      </c>
      <c r="T24" s="12">
        <v>250</v>
      </c>
      <c r="U24" s="15">
        <v>78.497428130000003</v>
      </c>
      <c r="V24" s="15">
        <v>0.257052</v>
      </c>
      <c r="W24" s="28">
        <f t="shared" si="5"/>
        <v>0</v>
      </c>
      <c r="X24" s="12"/>
      <c r="Y24" s="12" t="s">
        <v>26</v>
      </c>
      <c r="Z24" s="12" t="s">
        <v>26</v>
      </c>
      <c r="AA24" s="12">
        <v>6</v>
      </c>
      <c r="AB24" s="17">
        <v>940.29</v>
      </c>
      <c r="AC24" s="28">
        <f t="shared" si="6"/>
        <v>0</v>
      </c>
      <c r="AD24">
        <v>34</v>
      </c>
      <c r="AE24">
        <v>3600.913</v>
      </c>
      <c r="AF24">
        <v>552.82600000000002</v>
      </c>
      <c r="AG24">
        <v>11</v>
      </c>
      <c r="AH24">
        <v>11.88</v>
      </c>
      <c r="AI24">
        <v>12</v>
      </c>
      <c r="AJ24">
        <f t="shared" si="7"/>
        <v>0.83333333333333337</v>
      </c>
      <c r="AK24">
        <v>5</v>
      </c>
      <c r="AL24">
        <v>461.4</v>
      </c>
      <c r="AM24">
        <v>101.8</v>
      </c>
      <c r="AN24">
        <v>11</v>
      </c>
      <c r="AO24">
        <v>11</v>
      </c>
      <c r="AP24">
        <v>11</v>
      </c>
      <c r="AQ24">
        <f t="shared" si="8"/>
        <v>0.83333333333333337</v>
      </c>
    </row>
    <row r="25" spans="1:43" ht="13">
      <c r="A25" s="12" t="s">
        <v>127</v>
      </c>
      <c r="B25" s="13" t="s">
        <v>152</v>
      </c>
      <c r="C25" s="12">
        <v>168</v>
      </c>
      <c r="D25" s="12">
        <v>1662</v>
      </c>
      <c r="E25" s="14">
        <f t="shared" si="0"/>
        <v>6</v>
      </c>
      <c r="F25" s="14">
        <f t="shared" si="1"/>
        <v>6</v>
      </c>
      <c r="G25" s="14">
        <f t="shared" si="2"/>
        <v>6</v>
      </c>
      <c r="H25" s="14" t="str">
        <f t="shared" si="3"/>
        <v>OK</v>
      </c>
      <c r="I25" s="12">
        <v>168</v>
      </c>
      <c r="J25" s="12">
        <v>1662</v>
      </c>
      <c r="K25" s="16">
        <v>118477331052181</v>
      </c>
      <c r="L25" s="12">
        <v>63</v>
      </c>
      <c r="M25" s="12">
        <v>11</v>
      </c>
      <c r="N25" s="12">
        <v>2</v>
      </c>
      <c r="O25" s="12">
        <v>12</v>
      </c>
      <c r="P25" s="12">
        <f t="shared" si="4"/>
        <v>6</v>
      </c>
      <c r="Q25" s="12">
        <v>6</v>
      </c>
      <c r="R25" s="12">
        <v>6.0444000000000004</v>
      </c>
      <c r="S25" s="12">
        <v>7</v>
      </c>
      <c r="T25" s="12">
        <v>90</v>
      </c>
      <c r="U25" s="15">
        <v>39.621358499999999</v>
      </c>
      <c r="V25" s="15">
        <v>0.31961758299999998</v>
      </c>
      <c r="W25" s="28">
        <f t="shared" si="5"/>
        <v>0</v>
      </c>
      <c r="X25" s="12"/>
      <c r="Y25" s="12" t="s">
        <v>26</v>
      </c>
      <c r="Z25" s="12" t="s">
        <v>26</v>
      </c>
      <c r="AA25" s="12">
        <v>6</v>
      </c>
      <c r="AB25" s="17">
        <v>4485.6099999999997</v>
      </c>
      <c r="AC25" s="28">
        <f t="shared" si="6"/>
        <v>0</v>
      </c>
      <c r="AD25">
        <v>43</v>
      </c>
      <c r="AE25">
        <v>3600.6379999999999</v>
      </c>
      <c r="AF25">
        <v>78.721000000000004</v>
      </c>
      <c r="AG25">
        <v>12</v>
      </c>
      <c r="AH25">
        <v>12</v>
      </c>
      <c r="AI25">
        <v>12</v>
      </c>
      <c r="AJ25">
        <f t="shared" si="7"/>
        <v>1</v>
      </c>
      <c r="AK25">
        <v>5</v>
      </c>
      <c r="AL25">
        <v>17.52</v>
      </c>
      <c r="AM25">
        <v>7.17</v>
      </c>
      <c r="AN25">
        <v>12</v>
      </c>
      <c r="AO25">
        <v>12</v>
      </c>
      <c r="AP25">
        <v>12</v>
      </c>
      <c r="AQ25">
        <f t="shared" si="8"/>
        <v>1</v>
      </c>
    </row>
    <row r="26" spans="1:43" ht="13">
      <c r="A26" s="12" t="s">
        <v>127</v>
      </c>
      <c r="B26" s="13" t="s">
        <v>151</v>
      </c>
      <c r="C26" s="12">
        <v>167</v>
      </c>
      <c r="D26" s="12">
        <v>489</v>
      </c>
      <c r="E26" s="14">
        <f t="shared" si="0"/>
        <v>4</v>
      </c>
      <c r="F26" s="14">
        <f t="shared" si="1"/>
        <v>4</v>
      </c>
      <c r="G26" s="14">
        <f t="shared" si="2"/>
        <v>5</v>
      </c>
      <c r="H26" s="14" t="str">
        <f t="shared" si="3"/>
        <v>CHECK</v>
      </c>
      <c r="I26" s="12">
        <v>167</v>
      </c>
      <c r="J26" s="12">
        <v>489</v>
      </c>
      <c r="K26" s="16">
        <v>352788399105404</v>
      </c>
      <c r="L26" s="12">
        <v>20</v>
      </c>
      <c r="M26" s="12">
        <v>7</v>
      </c>
      <c r="N26" s="12">
        <v>2</v>
      </c>
      <c r="O26" s="12">
        <v>12</v>
      </c>
      <c r="P26" s="12">
        <f t="shared" si="4"/>
        <v>4</v>
      </c>
      <c r="Q26" s="12">
        <v>4</v>
      </c>
      <c r="R26" s="12">
        <v>4.9880000000000004</v>
      </c>
      <c r="S26" s="12">
        <v>6</v>
      </c>
      <c r="T26" s="12">
        <v>250</v>
      </c>
      <c r="U26" s="15">
        <v>31.393070040000001</v>
      </c>
      <c r="V26" s="15">
        <v>0.884434041</v>
      </c>
      <c r="W26" s="28">
        <f t="shared" si="5"/>
        <v>0</v>
      </c>
      <c r="X26" s="12"/>
      <c r="Y26" s="12" t="s">
        <v>26</v>
      </c>
      <c r="Z26" s="12" t="s">
        <v>26</v>
      </c>
      <c r="AA26" s="12">
        <v>5</v>
      </c>
      <c r="AB26" s="17">
        <v>2859.25</v>
      </c>
      <c r="AC26" s="28">
        <f t="shared" si="6"/>
        <v>0.25</v>
      </c>
      <c r="AD26">
        <v>47</v>
      </c>
      <c r="AE26">
        <v>3600.261</v>
      </c>
      <c r="AF26">
        <v>502.79500000000002</v>
      </c>
      <c r="AG26">
        <v>11</v>
      </c>
      <c r="AH26">
        <v>11.68</v>
      </c>
      <c r="AI26">
        <v>12</v>
      </c>
      <c r="AJ26">
        <f t="shared" si="7"/>
        <v>1.75</v>
      </c>
      <c r="AK26">
        <v>5</v>
      </c>
      <c r="AL26">
        <v>4.93</v>
      </c>
      <c r="AM26">
        <v>1.96</v>
      </c>
      <c r="AN26">
        <v>11</v>
      </c>
      <c r="AO26">
        <v>11.8</v>
      </c>
      <c r="AP26">
        <v>12</v>
      </c>
      <c r="AQ26">
        <f t="shared" si="8"/>
        <v>1.75</v>
      </c>
    </row>
    <row r="27" spans="1:43" ht="13">
      <c r="A27" s="12" t="s">
        <v>127</v>
      </c>
      <c r="B27" s="13" t="s">
        <v>266</v>
      </c>
      <c r="C27" s="12">
        <v>161</v>
      </c>
      <c r="D27" s="12">
        <v>608</v>
      </c>
      <c r="E27" s="14">
        <f t="shared" si="0"/>
        <v>3</v>
      </c>
      <c r="F27" s="14">
        <f t="shared" si="1"/>
        <v>3</v>
      </c>
      <c r="G27" s="14">
        <f t="shared" si="2"/>
        <v>3</v>
      </c>
      <c r="H27" s="14" t="str">
        <f t="shared" si="3"/>
        <v>OK</v>
      </c>
      <c r="I27" s="12">
        <v>161</v>
      </c>
      <c r="J27" s="12">
        <v>608</v>
      </c>
      <c r="K27" s="16">
        <v>472049689440994</v>
      </c>
      <c r="L27" s="12">
        <v>16</v>
      </c>
      <c r="M27" s="12">
        <v>10</v>
      </c>
      <c r="N27" s="12">
        <v>2</v>
      </c>
      <c r="O27" s="12">
        <v>12</v>
      </c>
      <c r="P27" s="12">
        <f t="shared" si="4"/>
        <v>3</v>
      </c>
      <c r="Q27" s="12">
        <v>3</v>
      </c>
      <c r="R27" s="12">
        <v>3.8959999999999999</v>
      </c>
      <c r="S27" s="12">
        <v>5</v>
      </c>
      <c r="T27" s="12">
        <v>250</v>
      </c>
      <c r="U27" s="15">
        <v>15.57784204</v>
      </c>
      <c r="V27" s="15">
        <v>0.71748354199999997</v>
      </c>
      <c r="W27" s="28">
        <f t="shared" si="5"/>
        <v>0</v>
      </c>
      <c r="X27" s="12"/>
      <c r="Y27" s="12" t="s">
        <v>26</v>
      </c>
      <c r="Z27" s="12" t="s">
        <v>26</v>
      </c>
      <c r="AA27" s="12">
        <v>3</v>
      </c>
      <c r="AB27" s="17">
        <v>333903.63</v>
      </c>
      <c r="AC27" s="28">
        <f t="shared" si="6"/>
        <v>0</v>
      </c>
      <c r="AD27">
        <v>39</v>
      </c>
      <c r="AE27">
        <v>3600.02</v>
      </c>
      <c r="AF27">
        <v>137.00899999999999</v>
      </c>
      <c r="AG27">
        <v>11</v>
      </c>
      <c r="AH27">
        <v>11.51</v>
      </c>
      <c r="AI27">
        <v>12</v>
      </c>
      <c r="AJ27">
        <f t="shared" si="7"/>
        <v>2.6666666666666665</v>
      </c>
      <c r="AK27">
        <v>5</v>
      </c>
      <c r="AL27">
        <v>5.7</v>
      </c>
      <c r="AM27">
        <v>5.7</v>
      </c>
      <c r="AN27">
        <v>11</v>
      </c>
      <c r="AO27">
        <v>11.2</v>
      </c>
      <c r="AP27">
        <v>12</v>
      </c>
      <c r="AQ27">
        <f t="shared" si="8"/>
        <v>2.6666666666666665</v>
      </c>
    </row>
    <row r="28" spans="1:43" ht="13">
      <c r="A28" s="12" t="s">
        <v>127</v>
      </c>
      <c r="B28" s="13" t="s">
        <v>150</v>
      </c>
      <c r="C28" s="12">
        <v>158</v>
      </c>
      <c r="D28" s="12">
        <v>312</v>
      </c>
      <c r="E28" s="14">
        <f t="shared" si="0"/>
        <v>2</v>
      </c>
      <c r="F28" s="14">
        <f t="shared" si="1"/>
        <v>2</v>
      </c>
      <c r="G28" s="14">
        <f t="shared" si="2"/>
        <v>2</v>
      </c>
      <c r="H28" s="14" t="str">
        <f t="shared" si="3"/>
        <v>OK</v>
      </c>
      <c r="I28" s="12">
        <v>158</v>
      </c>
      <c r="J28" s="12">
        <v>312</v>
      </c>
      <c r="K28" s="16">
        <v>251552043860356</v>
      </c>
      <c r="L28" s="12">
        <v>4</v>
      </c>
      <c r="M28" s="12">
        <v>78</v>
      </c>
      <c r="N28" s="12">
        <v>1</v>
      </c>
      <c r="O28" s="12">
        <v>12</v>
      </c>
      <c r="P28" s="12">
        <f t="shared" si="4"/>
        <v>2</v>
      </c>
      <c r="Q28" s="12">
        <v>2</v>
      </c>
      <c r="R28" s="12">
        <v>2.1480000000000001</v>
      </c>
      <c r="S28" s="12">
        <v>3</v>
      </c>
      <c r="T28" s="12">
        <v>250</v>
      </c>
      <c r="U28" s="15">
        <v>4.5988148339999997</v>
      </c>
      <c r="V28" s="15">
        <v>1.9978459E-2</v>
      </c>
      <c r="W28" s="28">
        <f t="shared" si="5"/>
        <v>0</v>
      </c>
      <c r="X28" s="12"/>
      <c r="Y28" s="12" t="s">
        <v>26</v>
      </c>
      <c r="Z28" s="12" t="s">
        <v>26</v>
      </c>
      <c r="AA28" s="12">
        <v>2</v>
      </c>
      <c r="AB28" s="17">
        <v>115.25</v>
      </c>
      <c r="AC28" s="28">
        <f t="shared" si="6"/>
        <v>0</v>
      </c>
      <c r="AD28">
        <v>55</v>
      </c>
      <c r="AE28">
        <v>3600.1930000000002</v>
      </c>
      <c r="AF28">
        <v>68.326999999999998</v>
      </c>
      <c r="AG28">
        <v>11</v>
      </c>
      <c r="AH28">
        <v>11</v>
      </c>
      <c r="AI28">
        <v>11</v>
      </c>
      <c r="AJ28">
        <f t="shared" si="7"/>
        <v>4.5</v>
      </c>
      <c r="AK28">
        <v>5</v>
      </c>
      <c r="AL28">
        <v>3.17</v>
      </c>
      <c r="AM28">
        <v>1.28</v>
      </c>
      <c r="AN28">
        <v>11</v>
      </c>
      <c r="AO28">
        <v>11</v>
      </c>
      <c r="AP28">
        <v>11</v>
      </c>
      <c r="AQ28">
        <f t="shared" si="8"/>
        <v>4.5</v>
      </c>
    </row>
    <row r="29" spans="1:43" ht="13">
      <c r="A29" s="12" t="s">
        <v>127</v>
      </c>
      <c r="B29" s="13" t="s">
        <v>149</v>
      </c>
      <c r="C29" s="12">
        <v>156</v>
      </c>
      <c r="D29" s="12">
        <v>371</v>
      </c>
      <c r="E29" s="14">
        <f t="shared" si="0"/>
        <v>4</v>
      </c>
      <c r="F29" s="14">
        <f t="shared" si="1"/>
        <v>4</v>
      </c>
      <c r="G29" s="14">
        <f t="shared" si="2"/>
        <v>5</v>
      </c>
      <c r="H29" s="14" t="str">
        <f t="shared" si="3"/>
        <v>CHECK</v>
      </c>
      <c r="I29" s="12">
        <v>156</v>
      </c>
      <c r="J29" s="12">
        <v>371</v>
      </c>
      <c r="K29" s="16">
        <v>30686517783292</v>
      </c>
      <c r="L29" s="12">
        <v>10</v>
      </c>
      <c r="M29" s="12">
        <v>7</v>
      </c>
      <c r="N29" s="12">
        <v>2</v>
      </c>
      <c r="O29" s="12">
        <v>12</v>
      </c>
      <c r="P29" s="12">
        <f t="shared" si="4"/>
        <v>4</v>
      </c>
      <c r="Q29" s="12">
        <v>4</v>
      </c>
      <c r="R29" s="12">
        <v>4.9000000000000004</v>
      </c>
      <c r="S29" s="12">
        <v>6</v>
      </c>
      <c r="T29" s="12">
        <v>250</v>
      </c>
      <c r="U29" s="15">
        <v>21.512604079999999</v>
      </c>
      <c r="V29" s="15">
        <v>8.8659416000000005E-2</v>
      </c>
      <c r="W29" s="28">
        <f t="shared" si="5"/>
        <v>0</v>
      </c>
      <c r="X29" s="12"/>
      <c r="Y29" s="12" t="s">
        <v>26</v>
      </c>
      <c r="Z29" s="12" t="s">
        <v>26</v>
      </c>
      <c r="AA29" s="12">
        <v>5</v>
      </c>
      <c r="AB29" s="17">
        <v>17.88</v>
      </c>
      <c r="AC29" s="28">
        <f t="shared" si="6"/>
        <v>0.25</v>
      </c>
      <c r="AD29">
        <v>64</v>
      </c>
      <c r="AE29">
        <v>3600.09</v>
      </c>
      <c r="AF29">
        <v>2410.529</v>
      </c>
      <c r="AG29">
        <v>10</v>
      </c>
      <c r="AH29">
        <v>10.98</v>
      </c>
      <c r="AI29">
        <v>11</v>
      </c>
      <c r="AJ29">
        <f t="shared" si="7"/>
        <v>1.5</v>
      </c>
      <c r="AK29">
        <v>5</v>
      </c>
      <c r="AL29">
        <v>3.87</v>
      </c>
      <c r="AM29">
        <v>0.78</v>
      </c>
      <c r="AN29">
        <v>11</v>
      </c>
      <c r="AO29">
        <v>11.6</v>
      </c>
      <c r="AP29">
        <v>12</v>
      </c>
      <c r="AQ29">
        <f t="shared" si="8"/>
        <v>1.75</v>
      </c>
    </row>
    <row r="30" spans="1:43" ht="13">
      <c r="A30" s="12" t="s">
        <v>127</v>
      </c>
      <c r="B30" s="13" t="s">
        <v>148</v>
      </c>
      <c r="C30" s="12">
        <v>153</v>
      </c>
      <c r="D30" s="12">
        <v>1135</v>
      </c>
      <c r="E30" s="14">
        <f t="shared" si="0"/>
        <v>5</v>
      </c>
      <c r="F30" s="14">
        <f t="shared" si="1"/>
        <v>5</v>
      </c>
      <c r="G30" s="14">
        <f t="shared" si="2"/>
        <v>5</v>
      </c>
      <c r="H30" s="14" t="str">
        <f t="shared" si="3"/>
        <v>OK</v>
      </c>
      <c r="I30" s="12">
        <v>153</v>
      </c>
      <c r="J30" s="12">
        <v>1135</v>
      </c>
      <c r="K30" s="16">
        <v>97609219126247</v>
      </c>
      <c r="L30" s="12">
        <v>23</v>
      </c>
      <c r="M30" s="12">
        <v>12</v>
      </c>
      <c r="N30" s="12">
        <v>1</v>
      </c>
      <c r="O30" s="12">
        <v>12</v>
      </c>
      <c r="P30" s="12">
        <f t="shared" si="4"/>
        <v>5</v>
      </c>
      <c r="Q30" s="12">
        <v>5</v>
      </c>
      <c r="R30" s="12">
        <v>5.2</v>
      </c>
      <c r="S30" s="12">
        <v>6</v>
      </c>
      <c r="T30" s="12">
        <v>250</v>
      </c>
      <c r="U30" s="15">
        <v>38.90112792</v>
      </c>
      <c r="V30" s="15">
        <v>0.172667125</v>
      </c>
      <c r="W30" s="28">
        <f t="shared" si="5"/>
        <v>0</v>
      </c>
      <c r="X30" s="12"/>
      <c r="Y30" s="12" t="s">
        <v>26</v>
      </c>
      <c r="Z30" s="12" t="s">
        <v>26</v>
      </c>
      <c r="AA30" s="12">
        <v>5</v>
      </c>
      <c r="AB30" s="17">
        <v>27695.42</v>
      </c>
      <c r="AC30" s="28">
        <f t="shared" si="6"/>
        <v>0</v>
      </c>
      <c r="AD30">
        <v>51</v>
      </c>
      <c r="AE30">
        <v>3600.2339999999999</v>
      </c>
      <c r="AF30">
        <v>65.832999999999998</v>
      </c>
      <c r="AG30">
        <v>11</v>
      </c>
      <c r="AH30">
        <v>11.71</v>
      </c>
      <c r="AI30">
        <v>12</v>
      </c>
      <c r="AJ30">
        <f t="shared" si="7"/>
        <v>1.2</v>
      </c>
      <c r="AK30">
        <v>5</v>
      </c>
      <c r="AL30">
        <v>11.2</v>
      </c>
      <c r="AM30">
        <v>6.76</v>
      </c>
      <c r="AN30">
        <v>12</v>
      </c>
      <c r="AO30">
        <v>12</v>
      </c>
      <c r="AP30">
        <v>12</v>
      </c>
      <c r="AQ30">
        <f t="shared" si="8"/>
        <v>1.4</v>
      </c>
    </row>
    <row r="31" spans="1:43" ht="13">
      <c r="A31" s="12" t="s">
        <v>127</v>
      </c>
      <c r="B31" s="13" t="s">
        <v>146</v>
      </c>
      <c r="C31" s="12">
        <v>147</v>
      </c>
      <c r="D31" s="12">
        <v>1151</v>
      </c>
      <c r="E31" s="14">
        <f t="shared" si="0"/>
        <v>3</v>
      </c>
      <c r="F31" s="14">
        <f t="shared" si="1"/>
        <v>3</v>
      </c>
      <c r="G31" s="14">
        <f t="shared" si="2"/>
        <v>4</v>
      </c>
      <c r="H31" s="14" t="str">
        <f t="shared" si="3"/>
        <v>CHECK</v>
      </c>
      <c r="I31" s="12">
        <v>147</v>
      </c>
      <c r="J31" s="12">
        <v>1151</v>
      </c>
      <c r="K31" s="16">
        <v>107259342093002</v>
      </c>
      <c r="L31" s="12">
        <v>20</v>
      </c>
      <c r="M31" s="12">
        <v>13</v>
      </c>
      <c r="N31" s="12">
        <v>1</v>
      </c>
      <c r="O31" s="12">
        <v>12</v>
      </c>
      <c r="P31" s="12">
        <f t="shared" si="4"/>
        <v>3</v>
      </c>
      <c r="Q31" s="12">
        <v>3</v>
      </c>
      <c r="R31" s="12">
        <v>4.1239999999999997</v>
      </c>
      <c r="S31" s="12">
        <v>5</v>
      </c>
      <c r="T31" s="12">
        <v>250</v>
      </c>
      <c r="U31" s="15">
        <v>23.091415829999999</v>
      </c>
      <c r="V31" s="15">
        <v>12.32856975</v>
      </c>
      <c r="W31" s="28">
        <f t="shared" si="5"/>
        <v>0</v>
      </c>
      <c r="X31" s="12"/>
      <c r="Y31" s="12" t="s">
        <v>26</v>
      </c>
      <c r="Z31" s="12" t="s">
        <v>26</v>
      </c>
      <c r="AA31" s="12">
        <v>4</v>
      </c>
      <c r="AB31" s="17">
        <v>26916.91</v>
      </c>
      <c r="AC31" s="28">
        <f t="shared" si="6"/>
        <v>0.33333333333333331</v>
      </c>
      <c r="AD31">
        <v>74</v>
      </c>
      <c r="AE31">
        <v>3600.0329999999999</v>
      </c>
      <c r="AF31">
        <v>194.614</v>
      </c>
      <c r="AG31">
        <v>11</v>
      </c>
      <c r="AH31">
        <v>11.82</v>
      </c>
      <c r="AI31">
        <v>12</v>
      </c>
      <c r="AJ31">
        <f t="shared" si="7"/>
        <v>2.6666666666666665</v>
      </c>
      <c r="AK31">
        <v>5</v>
      </c>
      <c r="AL31">
        <v>13.09</v>
      </c>
      <c r="AM31">
        <v>5.15</v>
      </c>
      <c r="AN31">
        <v>11</v>
      </c>
      <c r="AO31">
        <v>11.8</v>
      </c>
      <c r="AP31">
        <v>12</v>
      </c>
      <c r="AQ31">
        <f t="shared" si="8"/>
        <v>2.6666666666666665</v>
      </c>
    </row>
    <row r="32" spans="1:43" ht="13">
      <c r="A32" s="12" t="s">
        <v>127</v>
      </c>
      <c r="B32" s="13" t="s">
        <v>147</v>
      </c>
      <c r="C32" s="12">
        <v>147</v>
      </c>
      <c r="D32" s="12">
        <v>1147</v>
      </c>
      <c r="E32" s="14">
        <f t="shared" si="0"/>
        <v>3</v>
      </c>
      <c r="F32" s="14">
        <f t="shared" si="1"/>
        <v>3</v>
      </c>
      <c r="G32" s="14">
        <f t="shared" si="2"/>
        <v>4</v>
      </c>
      <c r="H32" s="14" t="str">
        <f t="shared" si="3"/>
        <v>CHECK</v>
      </c>
      <c r="I32" s="12">
        <v>147</v>
      </c>
      <c r="J32" s="12">
        <v>1147</v>
      </c>
      <c r="K32" s="16">
        <v>106886590252539</v>
      </c>
      <c r="L32" s="12">
        <v>20</v>
      </c>
      <c r="M32" s="12">
        <v>13</v>
      </c>
      <c r="N32" s="12">
        <v>1</v>
      </c>
      <c r="O32" s="12">
        <v>12</v>
      </c>
      <c r="P32" s="12">
        <f t="shared" si="4"/>
        <v>3</v>
      </c>
      <c r="Q32" s="12">
        <v>3</v>
      </c>
      <c r="R32" s="12">
        <v>4.1319999999999997</v>
      </c>
      <c r="S32" s="12">
        <v>6</v>
      </c>
      <c r="T32" s="12">
        <v>250</v>
      </c>
      <c r="U32" s="15">
        <v>23.487233249999999</v>
      </c>
      <c r="V32" s="15">
        <v>3.0469752919999999</v>
      </c>
      <c r="W32" s="28">
        <f t="shared" si="5"/>
        <v>0</v>
      </c>
      <c r="X32" s="12"/>
      <c r="Y32" s="12" t="s">
        <v>26</v>
      </c>
      <c r="Z32" s="12" t="s">
        <v>26</v>
      </c>
      <c r="AA32" s="12">
        <v>4</v>
      </c>
      <c r="AB32" s="17">
        <v>73503.72</v>
      </c>
      <c r="AC32" s="28">
        <f t="shared" si="6"/>
        <v>0.33333333333333331</v>
      </c>
      <c r="AD32">
        <v>75</v>
      </c>
      <c r="AE32">
        <v>3600.1590000000001</v>
      </c>
      <c r="AF32">
        <v>101.059</v>
      </c>
      <c r="AG32">
        <v>11</v>
      </c>
      <c r="AH32">
        <v>11.87</v>
      </c>
      <c r="AI32">
        <v>12</v>
      </c>
      <c r="AJ32">
        <f t="shared" si="7"/>
        <v>2.6666666666666665</v>
      </c>
      <c r="AK32">
        <v>5</v>
      </c>
      <c r="AL32">
        <v>12.91</v>
      </c>
      <c r="AM32">
        <v>7.94</v>
      </c>
      <c r="AN32">
        <v>12</v>
      </c>
      <c r="AO32">
        <v>12</v>
      </c>
      <c r="AP32">
        <v>12</v>
      </c>
      <c r="AQ32">
        <f t="shared" si="8"/>
        <v>3</v>
      </c>
    </row>
    <row r="33" spans="1:43" ht="13">
      <c r="A33" s="12" t="s">
        <v>127</v>
      </c>
      <c r="B33" s="13" t="s">
        <v>267</v>
      </c>
      <c r="C33" s="12">
        <v>144</v>
      </c>
      <c r="D33" s="12">
        <v>576</v>
      </c>
      <c r="E33" s="14">
        <f t="shared" si="0"/>
        <v>3</v>
      </c>
      <c r="F33" s="14">
        <f t="shared" si="1"/>
        <v>3</v>
      </c>
      <c r="G33" s="14">
        <f t="shared" si="2"/>
        <v>3</v>
      </c>
      <c r="H33" s="14" t="str">
        <f t="shared" si="3"/>
        <v>OK</v>
      </c>
      <c r="I33" s="12">
        <v>144</v>
      </c>
      <c r="J33" s="12">
        <v>576</v>
      </c>
      <c r="K33" s="16">
        <v>559440559440559</v>
      </c>
      <c r="L33" s="12">
        <v>14</v>
      </c>
      <c r="M33" s="12">
        <v>13</v>
      </c>
      <c r="N33" s="12">
        <v>1</v>
      </c>
      <c r="O33" s="12">
        <v>11</v>
      </c>
      <c r="P33" s="12">
        <f t="shared" si="4"/>
        <v>3</v>
      </c>
      <c r="Q33" s="12">
        <v>3</v>
      </c>
      <c r="R33" s="12">
        <v>3.2120000000000002</v>
      </c>
      <c r="S33" s="12">
        <v>4</v>
      </c>
      <c r="T33" s="12">
        <v>250</v>
      </c>
      <c r="U33" s="15">
        <v>10.54525325</v>
      </c>
      <c r="V33" s="15">
        <v>3.5963000000000002E-2</v>
      </c>
      <c r="W33" s="28">
        <f t="shared" si="5"/>
        <v>0</v>
      </c>
      <c r="X33" s="12"/>
      <c r="Y33" s="12" t="s">
        <v>26</v>
      </c>
      <c r="Z33" s="12" t="s">
        <v>26</v>
      </c>
      <c r="AA33" s="12">
        <v>3</v>
      </c>
      <c r="AB33" s="17">
        <v>326823.42</v>
      </c>
      <c r="AC33" s="28">
        <f t="shared" si="6"/>
        <v>0</v>
      </c>
      <c r="AD33">
        <v>74</v>
      </c>
      <c r="AE33">
        <v>3600.0619999999999</v>
      </c>
      <c r="AF33">
        <v>44.924999999999997</v>
      </c>
      <c r="AG33">
        <v>11</v>
      </c>
      <c r="AH33">
        <v>11</v>
      </c>
      <c r="AI33">
        <v>11</v>
      </c>
      <c r="AJ33">
        <f t="shared" si="7"/>
        <v>2.6666666666666665</v>
      </c>
      <c r="AK33">
        <v>5</v>
      </c>
      <c r="AL33">
        <v>5.24</v>
      </c>
      <c r="AM33">
        <v>1.05</v>
      </c>
      <c r="AN33">
        <v>10</v>
      </c>
      <c r="AO33">
        <v>10</v>
      </c>
      <c r="AP33">
        <v>10</v>
      </c>
      <c r="AQ33">
        <f t="shared" si="8"/>
        <v>2.3333333333333335</v>
      </c>
    </row>
    <row r="34" spans="1:43" ht="13">
      <c r="A34" s="12" t="s">
        <v>127</v>
      </c>
      <c r="B34" s="13" t="s">
        <v>145</v>
      </c>
      <c r="C34" s="12">
        <v>137</v>
      </c>
      <c r="D34" s="12">
        <v>352</v>
      </c>
      <c r="E34" s="14">
        <f t="shared" si="0"/>
        <v>4</v>
      </c>
      <c r="F34" s="14">
        <f t="shared" si="1"/>
        <v>4</v>
      </c>
      <c r="G34" s="14">
        <f t="shared" si="2"/>
        <v>4</v>
      </c>
      <c r="H34" s="14" t="str">
        <f t="shared" si="3"/>
        <v>OK</v>
      </c>
      <c r="I34" s="12">
        <v>137</v>
      </c>
      <c r="J34" s="12">
        <v>352</v>
      </c>
      <c r="K34" s="16">
        <v>377844568484328</v>
      </c>
      <c r="L34" s="12">
        <v>14</v>
      </c>
      <c r="M34" s="12">
        <v>7</v>
      </c>
      <c r="N34" s="12">
        <v>2</v>
      </c>
      <c r="O34" s="12">
        <v>11</v>
      </c>
      <c r="P34" s="12">
        <f t="shared" si="4"/>
        <v>4</v>
      </c>
      <c r="Q34" s="12">
        <v>4</v>
      </c>
      <c r="R34" s="12">
        <v>4.3520000000000003</v>
      </c>
      <c r="S34" s="12">
        <v>6</v>
      </c>
      <c r="T34" s="12">
        <v>250</v>
      </c>
      <c r="U34" s="15">
        <v>14.89457367</v>
      </c>
      <c r="V34" s="15">
        <v>0.23049591699999999</v>
      </c>
      <c r="W34" s="28">
        <f t="shared" si="5"/>
        <v>0</v>
      </c>
      <c r="X34" s="12"/>
      <c r="Y34" s="12" t="s">
        <v>26</v>
      </c>
      <c r="Z34" s="12" t="s">
        <v>26</v>
      </c>
      <c r="AA34" s="12">
        <v>4</v>
      </c>
      <c r="AB34" s="17">
        <v>511.31</v>
      </c>
      <c r="AC34" s="28">
        <f t="shared" si="6"/>
        <v>0</v>
      </c>
      <c r="AD34">
        <v>90</v>
      </c>
      <c r="AE34">
        <v>3218.165</v>
      </c>
      <c r="AF34">
        <v>38.600999999999999</v>
      </c>
      <c r="AG34">
        <v>10</v>
      </c>
      <c r="AH34">
        <v>10</v>
      </c>
      <c r="AI34">
        <v>10</v>
      </c>
      <c r="AJ34">
        <f t="shared" si="7"/>
        <v>1.5</v>
      </c>
      <c r="AK34">
        <v>5</v>
      </c>
      <c r="AL34">
        <v>3.33</v>
      </c>
      <c r="AM34">
        <v>2.67</v>
      </c>
      <c r="AN34">
        <v>10</v>
      </c>
      <c r="AO34">
        <v>10</v>
      </c>
      <c r="AP34">
        <v>10</v>
      </c>
      <c r="AQ34">
        <f t="shared" si="8"/>
        <v>1.5</v>
      </c>
    </row>
    <row r="35" spans="1:43" ht="13">
      <c r="A35" s="12" t="s">
        <v>127</v>
      </c>
      <c r="B35" s="13" t="s">
        <v>143</v>
      </c>
      <c r="C35" s="12">
        <v>132</v>
      </c>
      <c r="D35" s="12">
        <v>1758</v>
      </c>
      <c r="E35" s="14">
        <f t="shared" ref="E35:E54" si="9">P35</f>
        <v>6</v>
      </c>
      <c r="F35" s="14">
        <f t="shared" ref="F35:F54" si="10">Q35</f>
        <v>6</v>
      </c>
      <c r="G35" s="14">
        <f t="shared" ref="G35:G54" si="11">AA35</f>
        <v>7</v>
      </c>
      <c r="H35" s="14" t="str">
        <f t="shared" ref="H35:H54" si="12">IF(OR(E35=G35,F35=G35),"OK","CHECK")</f>
        <v>CHECK</v>
      </c>
      <c r="I35" s="12">
        <v>132</v>
      </c>
      <c r="J35" s="12">
        <v>1758</v>
      </c>
      <c r="K35" s="16">
        <v>203331020124913</v>
      </c>
      <c r="L35" s="12">
        <v>45</v>
      </c>
      <c r="M35" s="12">
        <v>5</v>
      </c>
      <c r="N35" s="12">
        <v>3</v>
      </c>
      <c r="O35" s="12">
        <v>11</v>
      </c>
      <c r="P35" s="12">
        <f t="shared" si="4"/>
        <v>6</v>
      </c>
      <c r="Q35" s="12">
        <v>6</v>
      </c>
      <c r="R35" s="12">
        <v>6.8</v>
      </c>
      <c r="S35" s="12">
        <v>8</v>
      </c>
      <c r="T35" s="12">
        <v>250</v>
      </c>
      <c r="U35" s="15">
        <v>95.182846130000001</v>
      </c>
      <c r="V35" s="15">
        <v>1.084844417</v>
      </c>
      <c r="W35" s="28">
        <f t="shared" si="5"/>
        <v>0</v>
      </c>
      <c r="X35" s="12"/>
      <c r="Y35" s="12" t="s">
        <v>26</v>
      </c>
      <c r="Z35" s="12" t="s">
        <v>26</v>
      </c>
      <c r="AA35" s="12">
        <v>7</v>
      </c>
      <c r="AB35" s="17">
        <v>13361.76</v>
      </c>
      <c r="AC35" s="28">
        <f t="shared" si="6"/>
        <v>0.16666666666666666</v>
      </c>
      <c r="AD35">
        <v>88</v>
      </c>
      <c r="AE35">
        <v>3600.0949999999998</v>
      </c>
      <c r="AF35">
        <v>2226.8090000000002</v>
      </c>
      <c r="AG35">
        <v>10</v>
      </c>
      <c r="AH35">
        <v>10.99</v>
      </c>
      <c r="AI35">
        <v>11</v>
      </c>
      <c r="AJ35">
        <f t="shared" si="7"/>
        <v>0.66666666666666663</v>
      </c>
      <c r="AK35">
        <v>5</v>
      </c>
      <c r="AL35">
        <v>16.059999999999999</v>
      </c>
      <c r="AM35">
        <v>12.84</v>
      </c>
      <c r="AN35">
        <v>10</v>
      </c>
      <c r="AO35">
        <v>10</v>
      </c>
      <c r="AP35">
        <v>10</v>
      </c>
      <c r="AQ35">
        <f t="shared" si="8"/>
        <v>0.66666666666666663</v>
      </c>
    </row>
    <row r="36" spans="1:43" ht="13">
      <c r="A36" s="12" t="s">
        <v>127</v>
      </c>
      <c r="B36" s="13" t="s">
        <v>144</v>
      </c>
      <c r="C36" s="12">
        <v>132</v>
      </c>
      <c r="D36" s="12">
        <v>404</v>
      </c>
      <c r="E36" s="14">
        <f t="shared" si="9"/>
        <v>5</v>
      </c>
      <c r="F36" s="14">
        <f t="shared" si="10"/>
        <v>5</v>
      </c>
      <c r="G36" s="14">
        <f t="shared" si="11"/>
        <v>5</v>
      </c>
      <c r="H36" s="14" t="str">
        <f t="shared" si="12"/>
        <v>OK</v>
      </c>
      <c r="I36" s="12">
        <v>132</v>
      </c>
      <c r="J36" s="12">
        <v>404</v>
      </c>
      <c r="K36" s="16">
        <v>467268100855887</v>
      </c>
      <c r="L36" s="12">
        <v>22</v>
      </c>
      <c r="M36" s="12">
        <v>7</v>
      </c>
      <c r="N36" s="12">
        <v>2</v>
      </c>
      <c r="O36" s="12">
        <v>11</v>
      </c>
      <c r="P36" s="12">
        <f t="shared" si="4"/>
        <v>5</v>
      </c>
      <c r="Q36" s="12">
        <v>5</v>
      </c>
      <c r="R36" s="12">
        <v>5.0110999999999999</v>
      </c>
      <c r="S36" s="12">
        <v>6</v>
      </c>
      <c r="T36" s="12">
        <v>90</v>
      </c>
      <c r="U36" s="15">
        <v>6.5608601660000003</v>
      </c>
      <c r="V36" s="15">
        <v>7.5030708000000002E-2</v>
      </c>
      <c r="W36" s="28">
        <f t="shared" si="5"/>
        <v>0</v>
      </c>
      <c r="X36" s="12"/>
      <c r="Y36" s="12" t="s">
        <v>26</v>
      </c>
      <c r="Z36" s="12" t="s">
        <v>26</v>
      </c>
      <c r="AA36" s="12">
        <v>5</v>
      </c>
      <c r="AB36" s="17">
        <v>8.0500000000000007</v>
      </c>
      <c r="AC36" s="28">
        <f t="shared" si="6"/>
        <v>0</v>
      </c>
      <c r="AD36">
        <v>90</v>
      </c>
      <c r="AE36">
        <v>2565.5700000000002</v>
      </c>
      <c r="AF36">
        <v>26.274000000000001</v>
      </c>
      <c r="AG36">
        <v>10</v>
      </c>
      <c r="AH36">
        <v>10</v>
      </c>
      <c r="AI36">
        <v>10</v>
      </c>
      <c r="AJ36">
        <f t="shared" si="7"/>
        <v>1</v>
      </c>
      <c r="AK36">
        <v>5</v>
      </c>
      <c r="AL36">
        <v>3.83</v>
      </c>
      <c r="AM36">
        <v>0.77</v>
      </c>
      <c r="AN36">
        <v>10</v>
      </c>
      <c r="AO36">
        <v>10</v>
      </c>
      <c r="AP36">
        <v>10</v>
      </c>
      <c r="AQ36">
        <f t="shared" si="8"/>
        <v>1</v>
      </c>
    </row>
    <row r="37" spans="1:43" ht="13">
      <c r="A37" s="12" t="s">
        <v>127</v>
      </c>
      <c r="B37" s="13" t="s">
        <v>142</v>
      </c>
      <c r="C37" s="12">
        <v>130</v>
      </c>
      <c r="D37" s="12">
        <v>715</v>
      </c>
      <c r="E37" s="14">
        <f t="shared" si="9"/>
        <v>6</v>
      </c>
      <c r="F37" s="14">
        <f t="shared" si="10"/>
        <v>6</v>
      </c>
      <c r="G37" s="14">
        <f t="shared" si="11"/>
        <v>6</v>
      </c>
      <c r="H37" s="14" t="str">
        <f t="shared" si="12"/>
        <v>OK</v>
      </c>
      <c r="I37" s="12">
        <v>130</v>
      </c>
      <c r="J37" s="12">
        <v>715</v>
      </c>
      <c r="K37" s="16">
        <v>852713178294574</v>
      </c>
      <c r="L37" s="12">
        <v>124</v>
      </c>
      <c r="M37" s="12">
        <v>4</v>
      </c>
      <c r="N37" s="12">
        <v>3</v>
      </c>
      <c r="O37" s="12">
        <v>11</v>
      </c>
      <c r="P37" s="12">
        <f t="shared" si="4"/>
        <v>6</v>
      </c>
      <c r="Q37" s="12">
        <v>6</v>
      </c>
      <c r="R37" s="12">
        <v>6</v>
      </c>
      <c r="S37" s="12">
        <v>6</v>
      </c>
      <c r="T37" s="12">
        <v>90</v>
      </c>
      <c r="U37" s="15">
        <v>15.71242971</v>
      </c>
      <c r="V37" s="15">
        <v>0.62669641700000001</v>
      </c>
      <c r="W37" s="28">
        <f t="shared" si="5"/>
        <v>0</v>
      </c>
      <c r="X37" s="12"/>
      <c r="Y37" s="12" t="s">
        <v>26</v>
      </c>
      <c r="Z37" s="12" t="s">
        <v>26</v>
      </c>
      <c r="AA37" s="12">
        <v>6</v>
      </c>
      <c r="AB37" s="17">
        <v>7.97</v>
      </c>
      <c r="AC37" s="28">
        <f t="shared" si="6"/>
        <v>0</v>
      </c>
      <c r="AD37">
        <v>78</v>
      </c>
      <c r="AE37">
        <v>3600.0540000000001</v>
      </c>
      <c r="AF37">
        <v>2576.0329999999999</v>
      </c>
      <c r="AG37">
        <v>8</v>
      </c>
      <c r="AH37">
        <v>9.14</v>
      </c>
      <c r="AI37">
        <v>10</v>
      </c>
      <c r="AJ37">
        <f t="shared" si="7"/>
        <v>0.33333333333333331</v>
      </c>
      <c r="AK37">
        <v>5</v>
      </c>
      <c r="AL37">
        <v>7.28</v>
      </c>
      <c r="AM37">
        <v>4.3600000000000003</v>
      </c>
      <c r="AN37">
        <v>10</v>
      </c>
      <c r="AO37">
        <v>10</v>
      </c>
      <c r="AP37">
        <v>10</v>
      </c>
      <c r="AQ37">
        <f t="shared" si="8"/>
        <v>0.66666666666666663</v>
      </c>
    </row>
    <row r="38" spans="1:43" ht="13">
      <c r="A38" s="12" t="s">
        <v>127</v>
      </c>
      <c r="B38" s="13" t="s">
        <v>268</v>
      </c>
      <c r="C38" s="12">
        <v>123</v>
      </c>
      <c r="D38" s="12">
        <v>275</v>
      </c>
      <c r="E38" s="14">
        <f t="shared" si="9"/>
        <v>3</v>
      </c>
      <c r="F38" s="14">
        <f t="shared" si="10"/>
        <v>3</v>
      </c>
      <c r="G38" s="14">
        <f t="shared" si="11"/>
        <v>3</v>
      </c>
      <c r="H38" s="14" t="str">
        <f t="shared" si="12"/>
        <v>OK</v>
      </c>
      <c r="I38" s="12">
        <v>123</v>
      </c>
      <c r="J38" s="12">
        <v>275</v>
      </c>
      <c r="K38" s="16">
        <v>366520058643209</v>
      </c>
      <c r="L38" s="12">
        <v>12</v>
      </c>
      <c r="M38" s="12">
        <v>10</v>
      </c>
      <c r="N38" s="12">
        <v>2</v>
      </c>
      <c r="O38" s="12">
        <v>11</v>
      </c>
      <c r="P38" s="12">
        <f t="shared" si="4"/>
        <v>3</v>
      </c>
      <c r="Q38" s="12">
        <v>3</v>
      </c>
      <c r="R38" s="12">
        <v>3.08</v>
      </c>
      <c r="S38" s="12">
        <v>4</v>
      </c>
      <c r="T38" s="12">
        <v>250</v>
      </c>
      <c r="U38" s="15">
        <v>7.1723040830000002</v>
      </c>
      <c r="V38" s="15">
        <v>2.7603791999999999E-2</v>
      </c>
      <c r="W38" s="28">
        <f t="shared" si="5"/>
        <v>0</v>
      </c>
      <c r="X38" s="12"/>
      <c r="Y38" s="12" t="s">
        <v>26</v>
      </c>
      <c r="Z38" s="12" t="s">
        <v>26</v>
      </c>
      <c r="AA38" s="12">
        <v>3</v>
      </c>
      <c r="AB38" s="17">
        <v>679.79</v>
      </c>
      <c r="AC38" s="28">
        <f t="shared" si="6"/>
        <v>0</v>
      </c>
      <c r="AD38">
        <v>101</v>
      </c>
      <c r="AE38">
        <v>3600.0259999999998</v>
      </c>
      <c r="AF38">
        <v>44.515000000000001</v>
      </c>
      <c r="AG38">
        <v>9</v>
      </c>
      <c r="AH38">
        <v>9.14</v>
      </c>
      <c r="AI38">
        <v>10</v>
      </c>
      <c r="AJ38">
        <f t="shared" si="7"/>
        <v>2</v>
      </c>
      <c r="AK38">
        <v>5</v>
      </c>
      <c r="AL38">
        <v>2.73</v>
      </c>
      <c r="AM38">
        <v>2.73</v>
      </c>
      <c r="AN38">
        <v>10</v>
      </c>
      <c r="AO38">
        <v>10</v>
      </c>
      <c r="AP38">
        <v>10</v>
      </c>
      <c r="AQ38">
        <f t="shared" si="8"/>
        <v>2.3333333333333335</v>
      </c>
    </row>
    <row r="39" spans="1:43" ht="13">
      <c r="A39" s="12" t="s">
        <v>127</v>
      </c>
      <c r="B39" s="13" t="s">
        <v>141</v>
      </c>
      <c r="C39" s="12">
        <v>118</v>
      </c>
      <c r="D39" s="12">
        <v>179</v>
      </c>
      <c r="E39" s="14">
        <f t="shared" si="9"/>
        <v>2</v>
      </c>
      <c r="F39" s="14">
        <f t="shared" si="10"/>
        <v>2</v>
      </c>
      <c r="G39" s="14">
        <f t="shared" si="11"/>
        <v>2</v>
      </c>
      <c r="H39" s="14" t="str">
        <f t="shared" si="12"/>
        <v>OK</v>
      </c>
      <c r="I39" s="12">
        <v>118</v>
      </c>
      <c r="J39" s="12">
        <v>179</v>
      </c>
      <c r="K39" s="16">
        <v>259307547443141</v>
      </c>
      <c r="L39" s="12">
        <v>9</v>
      </c>
      <c r="M39" s="12">
        <v>14</v>
      </c>
      <c r="N39" s="12">
        <v>1</v>
      </c>
      <c r="O39" s="12">
        <v>10</v>
      </c>
      <c r="P39" s="12">
        <f t="shared" si="4"/>
        <v>2</v>
      </c>
      <c r="Q39" s="12">
        <v>2</v>
      </c>
      <c r="R39" s="12">
        <v>2.8759999999999999</v>
      </c>
      <c r="S39" s="12">
        <v>3</v>
      </c>
      <c r="T39" s="12">
        <v>250</v>
      </c>
      <c r="U39" s="15">
        <v>4.3087976670000003</v>
      </c>
      <c r="V39" s="15">
        <v>0.37600145800000001</v>
      </c>
      <c r="W39" s="28">
        <f t="shared" si="5"/>
        <v>0</v>
      </c>
      <c r="X39" s="12"/>
      <c r="Y39" s="12" t="s">
        <v>26</v>
      </c>
      <c r="Z39" s="12" t="s">
        <v>26</v>
      </c>
      <c r="AA39" s="12">
        <v>2</v>
      </c>
      <c r="AB39" s="17">
        <v>6.83</v>
      </c>
      <c r="AC39" s="28">
        <f t="shared" si="6"/>
        <v>0</v>
      </c>
      <c r="AD39">
        <v>142</v>
      </c>
      <c r="AE39">
        <v>3600.1959999999999</v>
      </c>
      <c r="AF39">
        <v>376.68400000000003</v>
      </c>
      <c r="AG39">
        <v>8</v>
      </c>
      <c r="AH39">
        <v>8.9499999999999993</v>
      </c>
      <c r="AI39">
        <v>9</v>
      </c>
      <c r="AJ39">
        <f t="shared" si="7"/>
        <v>3</v>
      </c>
      <c r="AK39">
        <v>5</v>
      </c>
      <c r="AL39">
        <v>35.69</v>
      </c>
      <c r="AM39">
        <v>6.94</v>
      </c>
      <c r="AN39">
        <v>8</v>
      </c>
      <c r="AO39">
        <v>8.1999999999999993</v>
      </c>
      <c r="AP39">
        <v>9</v>
      </c>
      <c r="AQ39">
        <f t="shared" si="8"/>
        <v>3</v>
      </c>
    </row>
    <row r="40" spans="1:43" ht="13">
      <c r="A40" s="12" t="s">
        <v>127</v>
      </c>
      <c r="B40" s="13" t="s">
        <v>269</v>
      </c>
      <c r="C40" s="12">
        <v>117</v>
      </c>
      <c r="D40" s="12">
        <v>162</v>
      </c>
      <c r="E40" s="14">
        <f t="shared" si="9"/>
        <v>3</v>
      </c>
      <c r="F40" s="14">
        <f t="shared" si="10"/>
        <v>3</v>
      </c>
      <c r="G40" s="14">
        <f t="shared" si="11"/>
        <v>3</v>
      </c>
      <c r="H40" s="14" t="str">
        <f t="shared" si="12"/>
        <v>OK</v>
      </c>
      <c r="I40" s="12">
        <v>117</v>
      </c>
      <c r="J40" s="12">
        <v>162</v>
      </c>
      <c r="K40" s="16">
        <v>238726790450928</v>
      </c>
      <c r="L40" s="12">
        <v>9</v>
      </c>
      <c r="M40" s="12">
        <v>14</v>
      </c>
      <c r="N40" s="12">
        <v>1</v>
      </c>
      <c r="O40" s="12">
        <v>10</v>
      </c>
      <c r="P40" s="12">
        <f t="shared" si="4"/>
        <v>3</v>
      </c>
      <c r="Q40" s="12">
        <v>3</v>
      </c>
      <c r="R40" s="12">
        <v>3.036</v>
      </c>
      <c r="S40" s="12">
        <v>4</v>
      </c>
      <c r="T40" s="12">
        <v>250</v>
      </c>
      <c r="U40" s="15">
        <v>4.274970208</v>
      </c>
      <c r="V40" s="15">
        <v>1.5608749999999999E-2</v>
      </c>
      <c r="W40" s="28">
        <f t="shared" si="5"/>
        <v>0</v>
      </c>
      <c r="X40" s="12"/>
      <c r="Y40" s="12" t="s">
        <v>26</v>
      </c>
      <c r="Z40" s="12" t="s">
        <v>26</v>
      </c>
      <c r="AA40" s="18">
        <v>3</v>
      </c>
      <c r="AB40" s="19">
        <v>1.61</v>
      </c>
      <c r="AC40" s="28">
        <f t="shared" si="6"/>
        <v>0</v>
      </c>
      <c r="AD40">
        <v>170</v>
      </c>
      <c r="AE40">
        <v>3600.02</v>
      </c>
      <c r="AF40">
        <v>24.07</v>
      </c>
      <c r="AG40">
        <v>8</v>
      </c>
      <c r="AH40">
        <v>8.77</v>
      </c>
      <c r="AI40">
        <v>9</v>
      </c>
      <c r="AJ40">
        <f t="shared" si="7"/>
        <v>1.6666666666666667</v>
      </c>
      <c r="AK40">
        <v>5</v>
      </c>
      <c r="AL40">
        <v>19.059999999999999</v>
      </c>
      <c r="AM40">
        <v>3.65</v>
      </c>
      <c r="AN40">
        <v>8</v>
      </c>
      <c r="AO40">
        <v>8</v>
      </c>
      <c r="AP40">
        <v>8</v>
      </c>
      <c r="AQ40">
        <f t="shared" si="8"/>
        <v>1.6666666666666667</v>
      </c>
    </row>
    <row r="41" spans="1:43" ht="13">
      <c r="A41" s="12" t="s">
        <v>127</v>
      </c>
      <c r="B41" s="13" t="s">
        <v>270</v>
      </c>
      <c r="C41" s="12">
        <v>115</v>
      </c>
      <c r="D41" s="12">
        <v>267</v>
      </c>
      <c r="E41" s="14">
        <f t="shared" si="9"/>
        <v>3</v>
      </c>
      <c r="F41" s="14">
        <f t="shared" si="10"/>
        <v>3</v>
      </c>
      <c r="G41" s="14">
        <f t="shared" si="11"/>
        <v>3</v>
      </c>
      <c r="H41" s="14" t="str">
        <f t="shared" si="12"/>
        <v>OK</v>
      </c>
      <c r="I41" s="12">
        <v>115</v>
      </c>
      <c r="J41" s="12">
        <v>267</v>
      </c>
      <c r="K41" s="16">
        <v>407322654462243</v>
      </c>
      <c r="L41" s="12">
        <v>9</v>
      </c>
      <c r="M41" s="12">
        <v>8</v>
      </c>
      <c r="N41" s="12">
        <v>2</v>
      </c>
      <c r="O41" s="12">
        <v>10</v>
      </c>
      <c r="P41" s="12">
        <f t="shared" si="4"/>
        <v>3</v>
      </c>
      <c r="Q41" s="12">
        <v>3</v>
      </c>
      <c r="R41" s="12">
        <v>3.82</v>
      </c>
      <c r="S41" s="12">
        <v>4</v>
      </c>
      <c r="T41" s="12">
        <v>250</v>
      </c>
      <c r="U41" s="15">
        <v>7.4306632080000004</v>
      </c>
      <c r="V41" s="15">
        <v>0.17898108300000001</v>
      </c>
      <c r="W41" s="28">
        <f t="shared" si="5"/>
        <v>0</v>
      </c>
      <c r="X41" s="12"/>
      <c r="Y41" s="12" t="s">
        <v>26</v>
      </c>
      <c r="Z41" s="12" t="s">
        <v>26</v>
      </c>
      <c r="AA41" s="12">
        <v>3</v>
      </c>
      <c r="AB41" s="17">
        <v>2116.34</v>
      </c>
      <c r="AC41" s="28">
        <f t="shared" si="6"/>
        <v>0</v>
      </c>
      <c r="AD41">
        <v>90</v>
      </c>
      <c r="AE41">
        <v>1650.0519999999999</v>
      </c>
      <c r="AF41">
        <v>17.097999999999999</v>
      </c>
      <c r="AG41">
        <v>9</v>
      </c>
      <c r="AH41">
        <v>9</v>
      </c>
      <c r="AI41">
        <v>9</v>
      </c>
      <c r="AJ41">
        <f t="shared" si="7"/>
        <v>2</v>
      </c>
      <c r="AK41">
        <v>5</v>
      </c>
      <c r="AL41">
        <v>375.72</v>
      </c>
      <c r="AM41">
        <v>74.03</v>
      </c>
      <c r="AN41">
        <v>9</v>
      </c>
      <c r="AO41">
        <v>9</v>
      </c>
      <c r="AP41">
        <v>9</v>
      </c>
      <c r="AQ41">
        <f t="shared" si="8"/>
        <v>2</v>
      </c>
    </row>
    <row r="42" spans="1:43" ht="13">
      <c r="A42" s="12" t="s">
        <v>127</v>
      </c>
      <c r="B42" s="13" t="s">
        <v>140</v>
      </c>
      <c r="C42" s="12">
        <v>110</v>
      </c>
      <c r="D42" s="12">
        <v>254</v>
      </c>
      <c r="E42" s="14">
        <f t="shared" si="9"/>
        <v>2</v>
      </c>
      <c r="F42" s="14">
        <f t="shared" si="10"/>
        <v>2</v>
      </c>
      <c r="G42" s="14">
        <f t="shared" si="11"/>
        <v>2</v>
      </c>
      <c r="H42" s="14" t="str">
        <f t="shared" si="12"/>
        <v>OK</v>
      </c>
      <c r="I42" s="12">
        <v>110</v>
      </c>
      <c r="J42" s="12">
        <v>254</v>
      </c>
      <c r="K42" s="16">
        <v>423686405337782</v>
      </c>
      <c r="L42" s="12">
        <v>7</v>
      </c>
      <c r="M42" s="12">
        <v>16</v>
      </c>
      <c r="N42" s="12">
        <v>1</v>
      </c>
      <c r="O42" s="12">
        <v>10</v>
      </c>
      <c r="P42" s="12">
        <f t="shared" si="4"/>
        <v>2</v>
      </c>
      <c r="Q42" s="12">
        <v>2</v>
      </c>
      <c r="R42" s="12">
        <v>2.7679999999999998</v>
      </c>
      <c r="S42" s="12">
        <v>3</v>
      </c>
      <c r="T42" s="12">
        <v>250</v>
      </c>
      <c r="U42" s="15">
        <v>3.682204</v>
      </c>
      <c r="V42" s="15">
        <v>0.10257225</v>
      </c>
      <c r="W42" s="28">
        <f t="shared" si="5"/>
        <v>0</v>
      </c>
      <c r="X42" s="12"/>
      <c r="Y42" s="12" t="s">
        <v>26</v>
      </c>
      <c r="Z42" s="12" t="s">
        <v>26</v>
      </c>
      <c r="AA42" s="12">
        <v>2</v>
      </c>
      <c r="AB42" s="17">
        <v>28.75</v>
      </c>
      <c r="AC42" s="28">
        <f t="shared" si="6"/>
        <v>0</v>
      </c>
      <c r="AD42">
        <v>183</v>
      </c>
      <c r="AE42">
        <v>3600.0189999999998</v>
      </c>
      <c r="AF42">
        <v>1175.3810000000001</v>
      </c>
      <c r="AG42">
        <v>8</v>
      </c>
      <c r="AH42">
        <v>8.99</v>
      </c>
      <c r="AI42">
        <v>9</v>
      </c>
      <c r="AJ42">
        <f t="shared" si="7"/>
        <v>3</v>
      </c>
      <c r="AK42">
        <v>5</v>
      </c>
      <c r="AL42">
        <v>250.72</v>
      </c>
      <c r="AM42">
        <v>48.09</v>
      </c>
      <c r="AN42">
        <v>9</v>
      </c>
      <c r="AO42">
        <v>9</v>
      </c>
      <c r="AP42">
        <v>9</v>
      </c>
      <c r="AQ42">
        <f t="shared" si="8"/>
        <v>3.5</v>
      </c>
    </row>
    <row r="43" spans="1:43" ht="13">
      <c r="A43" s="12" t="s">
        <v>127</v>
      </c>
      <c r="B43" s="13" t="s">
        <v>139</v>
      </c>
      <c r="C43" s="12">
        <v>104</v>
      </c>
      <c r="D43" s="12">
        <v>549</v>
      </c>
      <c r="E43" s="14">
        <f t="shared" si="9"/>
        <v>4</v>
      </c>
      <c r="F43" s="14">
        <f t="shared" si="10"/>
        <v>4</v>
      </c>
      <c r="G43" s="14">
        <f t="shared" si="11"/>
        <v>5</v>
      </c>
      <c r="H43" s="14" t="str">
        <f t="shared" si="12"/>
        <v>CHECK</v>
      </c>
      <c r="I43" s="12">
        <v>104</v>
      </c>
      <c r="J43" s="12">
        <v>549</v>
      </c>
      <c r="K43" s="16">
        <v>102501867064974</v>
      </c>
      <c r="L43" s="12">
        <v>26</v>
      </c>
      <c r="M43" s="12">
        <v>6</v>
      </c>
      <c r="N43" s="12">
        <v>2</v>
      </c>
      <c r="O43" s="12">
        <v>10</v>
      </c>
      <c r="P43" s="12">
        <f t="shared" si="4"/>
        <v>4</v>
      </c>
      <c r="Q43" s="12">
        <v>4</v>
      </c>
      <c r="R43" s="12">
        <v>4.6760000000000002</v>
      </c>
      <c r="S43" s="12">
        <v>5</v>
      </c>
      <c r="T43" s="12">
        <v>250</v>
      </c>
      <c r="U43" s="15">
        <v>16.922074540000001</v>
      </c>
      <c r="V43" s="15">
        <v>0.112166875</v>
      </c>
      <c r="W43" s="28">
        <f t="shared" si="5"/>
        <v>0</v>
      </c>
      <c r="X43" s="12"/>
      <c r="Y43" s="12" t="s">
        <v>26</v>
      </c>
      <c r="Z43" s="12" t="s">
        <v>26</v>
      </c>
      <c r="AA43" s="12">
        <v>5</v>
      </c>
      <c r="AB43" s="17">
        <v>11.43</v>
      </c>
      <c r="AC43" s="28">
        <f t="shared" si="6"/>
        <v>0.25</v>
      </c>
      <c r="AD43">
        <v>90</v>
      </c>
      <c r="AE43">
        <v>1319.9780000000001</v>
      </c>
      <c r="AF43">
        <v>17.957999999999998</v>
      </c>
      <c r="AG43">
        <v>9</v>
      </c>
      <c r="AH43">
        <v>9.02</v>
      </c>
      <c r="AI43">
        <v>10</v>
      </c>
      <c r="AJ43">
        <f t="shared" si="7"/>
        <v>1.25</v>
      </c>
      <c r="AK43">
        <v>5</v>
      </c>
      <c r="AL43">
        <v>2656.14</v>
      </c>
      <c r="AM43">
        <v>531.96</v>
      </c>
      <c r="AN43">
        <v>9</v>
      </c>
      <c r="AO43">
        <v>9</v>
      </c>
      <c r="AP43">
        <v>9</v>
      </c>
      <c r="AQ43">
        <f t="shared" si="8"/>
        <v>1.25</v>
      </c>
    </row>
    <row r="44" spans="1:43" ht="13">
      <c r="A44" s="12" t="s">
        <v>127</v>
      </c>
      <c r="B44" s="13" t="s">
        <v>138</v>
      </c>
      <c r="C44" s="12">
        <v>100</v>
      </c>
      <c r="D44" s="12">
        <v>247</v>
      </c>
      <c r="E44" s="14">
        <f t="shared" si="9"/>
        <v>3</v>
      </c>
      <c r="F44" s="14">
        <f t="shared" si="10"/>
        <v>3</v>
      </c>
      <c r="G44" s="14">
        <f t="shared" si="11"/>
        <v>3</v>
      </c>
      <c r="H44" s="14" t="str">
        <f t="shared" si="12"/>
        <v>OK</v>
      </c>
      <c r="I44" s="12">
        <v>100</v>
      </c>
      <c r="J44" s="12">
        <v>247</v>
      </c>
      <c r="K44" s="16">
        <v>498989898989899</v>
      </c>
      <c r="L44" s="12">
        <v>6</v>
      </c>
      <c r="M44" s="12">
        <v>13</v>
      </c>
      <c r="N44" s="12">
        <v>1</v>
      </c>
      <c r="O44" s="12">
        <v>9</v>
      </c>
      <c r="P44" s="12">
        <f t="shared" si="4"/>
        <v>3</v>
      </c>
      <c r="Q44" s="12">
        <v>3</v>
      </c>
      <c r="R44" s="12">
        <v>3.0303</v>
      </c>
      <c r="S44" s="12">
        <v>4</v>
      </c>
      <c r="T44" s="12">
        <v>99</v>
      </c>
      <c r="U44" s="15">
        <v>1.682427417</v>
      </c>
      <c r="V44" s="15">
        <v>1.9698750000000001E-2</v>
      </c>
      <c r="W44" s="28">
        <f t="shared" si="5"/>
        <v>0</v>
      </c>
      <c r="X44" s="12"/>
      <c r="Y44" s="12" t="s">
        <v>26</v>
      </c>
      <c r="Z44" s="12" t="s">
        <v>26</v>
      </c>
      <c r="AA44" s="18">
        <v>3</v>
      </c>
      <c r="AB44" s="19">
        <v>4.07</v>
      </c>
      <c r="AC44" s="28">
        <f t="shared" si="6"/>
        <v>0</v>
      </c>
      <c r="AD44">
        <v>250</v>
      </c>
      <c r="AE44">
        <v>2988.5189999999998</v>
      </c>
      <c r="AF44">
        <v>64.516000000000005</v>
      </c>
      <c r="AG44">
        <v>8</v>
      </c>
      <c r="AH44">
        <v>8.6300000000000008</v>
      </c>
      <c r="AI44">
        <v>9</v>
      </c>
      <c r="AJ44">
        <f t="shared" si="7"/>
        <v>1.6666666666666667</v>
      </c>
      <c r="AK44">
        <v>5</v>
      </c>
      <c r="AL44">
        <v>524.55999999999995</v>
      </c>
      <c r="AM44">
        <v>102.63</v>
      </c>
      <c r="AN44">
        <v>8</v>
      </c>
      <c r="AO44">
        <v>8</v>
      </c>
      <c r="AP44">
        <v>8</v>
      </c>
      <c r="AQ44">
        <f t="shared" si="8"/>
        <v>1.6666666666666667</v>
      </c>
    </row>
    <row r="45" spans="1:43" ht="13">
      <c r="A45" s="12" t="s">
        <v>127</v>
      </c>
      <c r="B45" s="13" t="s">
        <v>137</v>
      </c>
      <c r="C45" s="12">
        <v>85</v>
      </c>
      <c r="D45" s="12">
        <v>219</v>
      </c>
      <c r="E45" s="14">
        <f t="shared" si="9"/>
        <v>2</v>
      </c>
      <c r="F45" s="14">
        <f t="shared" si="10"/>
        <v>2</v>
      </c>
      <c r="G45" s="14">
        <f t="shared" si="11"/>
        <v>2</v>
      </c>
      <c r="H45" s="14" t="str">
        <f t="shared" si="12"/>
        <v>OK</v>
      </c>
      <c r="I45" s="12">
        <v>85</v>
      </c>
      <c r="J45" s="12">
        <v>219</v>
      </c>
      <c r="K45" s="16">
        <v>61344537815126</v>
      </c>
      <c r="L45" s="12">
        <v>9</v>
      </c>
      <c r="M45" s="12">
        <v>13</v>
      </c>
      <c r="N45" s="12">
        <v>1</v>
      </c>
      <c r="O45" s="12">
        <v>9</v>
      </c>
      <c r="P45" s="12">
        <f t="shared" si="4"/>
        <v>2</v>
      </c>
      <c r="Q45" s="12">
        <v>2</v>
      </c>
      <c r="R45" s="12">
        <v>2.64</v>
      </c>
      <c r="S45" s="12">
        <v>3</v>
      </c>
      <c r="T45" s="12">
        <v>250</v>
      </c>
      <c r="U45" s="15">
        <v>3.301160667</v>
      </c>
      <c r="V45" s="15">
        <v>0.306693459</v>
      </c>
      <c r="W45" s="28">
        <f t="shared" si="5"/>
        <v>0</v>
      </c>
      <c r="X45" s="12"/>
      <c r="Y45" s="12" t="s">
        <v>26</v>
      </c>
      <c r="Z45" s="12" t="s">
        <v>26</v>
      </c>
      <c r="AA45" s="12">
        <v>2</v>
      </c>
      <c r="AB45" s="17">
        <v>10.56</v>
      </c>
      <c r="AC45" s="28">
        <f t="shared" si="6"/>
        <v>0</v>
      </c>
      <c r="AD45">
        <v>250</v>
      </c>
      <c r="AE45">
        <v>2129.6379999999999</v>
      </c>
      <c r="AF45">
        <v>55.673999999999999</v>
      </c>
      <c r="AG45">
        <v>7</v>
      </c>
      <c r="AH45">
        <v>7.95</v>
      </c>
      <c r="AI45">
        <v>8</v>
      </c>
      <c r="AJ45">
        <f t="shared" si="7"/>
        <v>2.5</v>
      </c>
      <c r="AK45">
        <v>5</v>
      </c>
      <c r="AL45">
        <v>221.9</v>
      </c>
      <c r="AM45">
        <v>90.14</v>
      </c>
      <c r="AN45">
        <v>7</v>
      </c>
      <c r="AO45">
        <v>7.4</v>
      </c>
      <c r="AP45">
        <v>8</v>
      </c>
      <c r="AQ45">
        <f t="shared" si="8"/>
        <v>2.5</v>
      </c>
    </row>
    <row r="46" spans="1:43" ht="13">
      <c r="A46" s="12" t="s">
        <v>127</v>
      </c>
      <c r="B46" s="13" t="s">
        <v>136</v>
      </c>
      <c r="C46" s="12">
        <v>80</v>
      </c>
      <c r="D46" s="12">
        <v>424</v>
      </c>
      <c r="E46" s="14">
        <f t="shared" si="9"/>
        <v>3</v>
      </c>
      <c r="F46" s="14">
        <f t="shared" si="10"/>
        <v>3</v>
      </c>
      <c r="G46" s="14">
        <f t="shared" si="11"/>
        <v>3</v>
      </c>
      <c r="H46" s="14" t="str">
        <f t="shared" si="12"/>
        <v>OK</v>
      </c>
      <c r="I46" s="12">
        <v>80</v>
      </c>
      <c r="J46" s="12">
        <v>424</v>
      </c>
      <c r="K46" s="16">
        <v>134177215189873</v>
      </c>
      <c r="L46" s="12">
        <v>11</v>
      </c>
      <c r="M46" s="12">
        <v>19</v>
      </c>
      <c r="N46" s="12">
        <v>1</v>
      </c>
      <c r="O46" s="12">
        <v>8</v>
      </c>
      <c r="P46" s="12">
        <f t="shared" si="4"/>
        <v>3</v>
      </c>
      <c r="Q46" s="12">
        <v>3</v>
      </c>
      <c r="R46" s="12">
        <v>3.3239999999999998</v>
      </c>
      <c r="S46" s="12">
        <v>4</v>
      </c>
      <c r="T46" s="12">
        <v>250</v>
      </c>
      <c r="U46" s="15">
        <v>3.9393204590000002</v>
      </c>
      <c r="V46" s="15">
        <v>2.8920667000000001E-2</v>
      </c>
      <c r="W46" s="28">
        <f t="shared" si="5"/>
        <v>0</v>
      </c>
      <c r="X46" s="12"/>
      <c r="Y46" s="12" t="s">
        <v>26</v>
      </c>
      <c r="Z46" s="12" t="s">
        <v>26</v>
      </c>
      <c r="AA46" s="12">
        <v>3</v>
      </c>
      <c r="AB46" s="17">
        <v>220.2</v>
      </c>
      <c r="AC46" s="28">
        <f t="shared" si="6"/>
        <v>0</v>
      </c>
      <c r="AD46">
        <v>90</v>
      </c>
      <c r="AE46">
        <v>463.22300000000001</v>
      </c>
      <c r="AF46">
        <v>5.2649999999999997</v>
      </c>
      <c r="AG46">
        <v>8</v>
      </c>
      <c r="AH46">
        <v>8</v>
      </c>
      <c r="AI46">
        <v>8</v>
      </c>
      <c r="AJ46">
        <f t="shared" si="7"/>
        <v>1.6666666666666667</v>
      </c>
      <c r="AK46">
        <v>5</v>
      </c>
      <c r="AL46">
        <v>1218.78</v>
      </c>
      <c r="AM46">
        <v>236.95</v>
      </c>
      <c r="AN46">
        <v>7</v>
      </c>
      <c r="AO46">
        <v>7.2</v>
      </c>
      <c r="AP46">
        <v>8</v>
      </c>
      <c r="AQ46">
        <f t="shared" si="8"/>
        <v>1.3333333333333333</v>
      </c>
    </row>
    <row r="47" spans="1:43" ht="13">
      <c r="A47" s="12" t="s">
        <v>127</v>
      </c>
      <c r="B47" s="13" t="s">
        <v>135</v>
      </c>
      <c r="C47" s="12">
        <v>59</v>
      </c>
      <c r="D47" s="12">
        <v>281</v>
      </c>
      <c r="E47" s="14">
        <f t="shared" si="9"/>
        <v>4</v>
      </c>
      <c r="F47" s="14">
        <f t="shared" si="10"/>
        <v>4</v>
      </c>
      <c r="G47" s="14">
        <f t="shared" si="11"/>
        <v>4</v>
      </c>
      <c r="H47" s="14" t="str">
        <f t="shared" si="12"/>
        <v>OK</v>
      </c>
      <c r="I47" s="12">
        <v>59</v>
      </c>
      <c r="J47" s="12">
        <v>281</v>
      </c>
      <c r="K47" s="16">
        <v>164231443600234</v>
      </c>
      <c r="L47" s="12">
        <v>17</v>
      </c>
      <c r="M47" s="12">
        <v>4</v>
      </c>
      <c r="N47" s="12">
        <v>2</v>
      </c>
      <c r="O47" s="12">
        <v>7</v>
      </c>
      <c r="P47" s="12">
        <f t="shared" si="4"/>
        <v>4</v>
      </c>
      <c r="Q47" s="12">
        <v>4</v>
      </c>
      <c r="R47" s="12">
        <v>4.0110999999999999</v>
      </c>
      <c r="S47" s="12">
        <v>5</v>
      </c>
      <c r="T47" s="12">
        <v>90</v>
      </c>
      <c r="U47" s="15">
        <v>1.8087787500000001</v>
      </c>
      <c r="V47" s="15">
        <v>1.7538708E-2</v>
      </c>
      <c r="W47" s="28">
        <f t="shared" si="5"/>
        <v>0</v>
      </c>
      <c r="X47" s="12"/>
      <c r="Y47" s="12" t="s">
        <v>26</v>
      </c>
      <c r="Z47" s="12" t="s">
        <v>26</v>
      </c>
      <c r="AA47" s="12">
        <v>4</v>
      </c>
      <c r="AB47" s="17">
        <v>3.51</v>
      </c>
      <c r="AC47" s="28">
        <f t="shared" si="6"/>
        <v>0</v>
      </c>
      <c r="AD47">
        <v>250</v>
      </c>
      <c r="AE47">
        <v>505.19400000000002</v>
      </c>
      <c r="AF47">
        <v>7.2460000000000004</v>
      </c>
      <c r="AG47">
        <v>6</v>
      </c>
      <c r="AH47">
        <v>6.85</v>
      </c>
      <c r="AI47">
        <v>7</v>
      </c>
      <c r="AJ47">
        <f t="shared" si="7"/>
        <v>0.5</v>
      </c>
      <c r="AK47">
        <v>5</v>
      </c>
      <c r="AL47">
        <v>2.2400000000000002</v>
      </c>
      <c r="AM47">
        <v>2.2400000000000002</v>
      </c>
      <c r="AN47">
        <v>6</v>
      </c>
      <c r="AO47">
        <v>6</v>
      </c>
      <c r="AP47">
        <v>6</v>
      </c>
      <c r="AQ47">
        <f t="shared" si="8"/>
        <v>0.5</v>
      </c>
    </row>
    <row r="48" spans="1:43" ht="13">
      <c r="A48" s="12" t="s">
        <v>127</v>
      </c>
      <c r="B48" s="13" t="s">
        <v>134</v>
      </c>
      <c r="C48" s="12">
        <v>57</v>
      </c>
      <c r="D48" s="12">
        <v>127</v>
      </c>
      <c r="E48" s="14">
        <f t="shared" si="9"/>
        <v>2</v>
      </c>
      <c r="F48" s="14">
        <f t="shared" si="10"/>
        <v>2</v>
      </c>
      <c r="G48" s="14">
        <f t="shared" si="11"/>
        <v>2</v>
      </c>
      <c r="H48" s="14" t="str">
        <f t="shared" si="12"/>
        <v>OK</v>
      </c>
      <c r="I48" s="12">
        <v>57</v>
      </c>
      <c r="J48" s="12">
        <v>127</v>
      </c>
      <c r="K48" s="16">
        <v>795739348370927</v>
      </c>
      <c r="L48" s="12">
        <v>10</v>
      </c>
      <c r="M48" s="12">
        <v>11</v>
      </c>
      <c r="N48" s="12">
        <v>1</v>
      </c>
      <c r="O48" s="12">
        <v>7</v>
      </c>
      <c r="P48" s="12">
        <f t="shared" si="4"/>
        <v>2</v>
      </c>
      <c r="Q48" s="12">
        <v>2</v>
      </c>
      <c r="R48" s="12">
        <v>2.2320000000000002</v>
      </c>
      <c r="S48" s="12">
        <v>3</v>
      </c>
      <c r="T48" s="12">
        <v>250</v>
      </c>
      <c r="U48" s="15">
        <v>1.299809958</v>
      </c>
      <c r="V48" s="15">
        <v>5.4141659999999998E-3</v>
      </c>
      <c r="W48" s="28">
        <f t="shared" si="5"/>
        <v>0</v>
      </c>
      <c r="X48" s="12"/>
      <c r="Y48" s="12" t="s">
        <v>26</v>
      </c>
      <c r="Z48" s="12" t="s">
        <v>26</v>
      </c>
      <c r="AA48" s="12">
        <v>2</v>
      </c>
      <c r="AB48" s="17">
        <v>3.1</v>
      </c>
      <c r="AC48" s="28">
        <f t="shared" si="6"/>
        <v>0</v>
      </c>
      <c r="AD48">
        <v>90</v>
      </c>
      <c r="AE48">
        <v>146.12899999999999</v>
      </c>
      <c r="AF48">
        <v>1.6439999999999999</v>
      </c>
      <c r="AG48">
        <v>6</v>
      </c>
      <c r="AH48">
        <v>6</v>
      </c>
      <c r="AI48">
        <v>6</v>
      </c>
      <c r="AJ48">
        <f t="shared" si="7"/>
        <v>2</v>
      </c>
      <c r="AK48">
        <v>5</v>
      </c>
      <c r="AL48">
        <v>1.25</v>
      </c>
      <c r="AM48">
        <v>0.5</v>
      </c>
      <c r="AN48">
        <v>6</v>
      </c>
      <c r="AO48">
        <v>6</v>
      </c>
      <c r="AP48">
        <v>6</v>
      </c>
      <c r="AQ48">
        <f t="shared" si="8"/>
        <v>2</v>
      </c>
    </row>
    <row r="49" spans="1:43" ht="13">
      <c r="A49" s="12" t="s">
        <v>127</v>
      </c>
      <c r="B49" s="13" t="s">
        <v>133</v>
      </c>
      <c r="C49" s="12">
        <v>54</v>
      </c>
      <c r="D49" s="12">
        <v>124</v>
      </c>
      <c r="E49" s="14">
        <f t="shared" si="9"/>
        <v>2</v>
      </c>
      <c r="F49" s="14">
        <f t="shared" si="10"/>
        <v>2</v>
      </c>
      <c r="G49" s="14">
        <f t="shared" si="11"/>
        <v>2</v>
      </c>
      <c r="H49" s="14" t="str">
        <f t="shared" si="12"/>
        <v>OK</v>
      </c>
      <c r="I49" s="12">
        <v>54</v>
      </c>
      <c r="J49" s="12">
        <v>124</v>
      </c>
      <c r="K49" s="16">
        <v>866526904262753</v>
      </c>
      <c r="L49" s="12">
        <v>15</v>
      </c>
      <c r="M49" s="12">
        <v>7</v>
      </c>
      <c r="N49" s="12">
        <v>1</v>
      </c>
      <c r="O49" s="12">
        <v>7</v>
      </c>
      <c r="P49" s="12">
        <f t="shared" si="4"/>
        <v>2</v>
      </c>
      <c r="Q49" s="12">
        <v>2</v>
      </c>
      <c r="R49" s="12">
        <v>2.6080000000000001</v>
      </c>
      <c r="S49" s="12">
        <v>3</v>
      </c>
      <c r="T49" s="12">
        <v>250</v>
      </c>
      <c r="U49" s="15">
        <v>1.5037959160000001</v>
      </c>
      <c r="V49" s="15">
        <v>7.3562499999999999E-3</v>
      </c>
      <c r="W49" s="28">
        <f t="shared" si="5"/>
        <v>0</v>
      </c>
      <c r="X49" s="12"/>
      <c r="Y49" s="12" t="s">
        <v>26</v>
      </c>
      <c r="Z49" s="12" t="s">
        <v>26</v>
      </c>
      <c r="AA49" s="12">
        <v>2</v>
      </c>
      <c r="AB49" s="17">
        <v>5.86</v>
      </c>
      <c r="AC49" s="28">
        <f t="shared" si="6"/>
        <v>0</v>
      </c>
      <c r="AD49">
        <v>250</v>
      </c>
      <c r="AE49">
        <v>483.541</v>
      </c>
      <c r="AF49">
        <v>4.4370000000000003</v>
      </c>
      <c r="AG49">
        <v>5</v>
      </c>
      <c r="AH49">
        <v>5.83</v>
      </c>
      <c r="AI49">
        <v>6</v>
      </c>
      <c r="AJ49">
        <f t="shared" si="7"/>
        <v>1.5</v>
      </c>
      <c r="AK49">
        <v>5</v>
      </c>
      <c r="AL49">
        <v>1.23</v>
      </c>
      <c r="AM49">
        <v>0.98</v>
      </c>
      <c r="AN49">
        <v>6</v>
      </c>
      <c r="AO49">
        <v>6</v>
      </c>
      <c r="AP49">
        <v>6</v>
      </c>
      <c r="AQ49">
        <f t="shared" si="8"/>
        <v>2</v>
      </c>
    </row>
    <row r="50" spans="1:43" ht="13">
      <c r="A50" s="12" t="s">
        <v>127</v>
      </c>
      <c r="B50" s="13" t="s">
        <v>132</v>
      </c>
      <c r="C50" s="12">
        <v>49</v>
      </c>
      <c r="D50" s="12">
        <v>59</v>
      </c>
      <c r="E50" s="14">
        <f t="shared" si="9"/>
        <v>2</v>
      </c>
      <c r="F50" s="14">
        <f t="shared" si="10"/>
        <v>2</v>
      </c>
      <c r="G50" s="14">
        <f t="shared" si="11"/>
        <v>2</v>
      </c>
      <c r="H50" s="14" t="str">
        <f t="shared" si="12"/>
        <v>OK</v>
      </c>
      <c r="I50" s="12">
        <v>49</v>
      </c>
      <c r="J50" s="12">
        <v>59</v>
      </c>
      <c r="K50" s="16">
        <v>501700680272109</v>
      </c>
      <c r="L50" s="12">
        <v>6</v>
      </c>
      <c r="M50" s="12">
        <v>9</v>
      </c>
      <c r="N50" s="12">
        <v>1</v>
      </c>
      <c r="O50" s="12">
        <v>6</v>
      </c>
      <c r="P50" s="12">
        <f t="shared" si="4"/>
        <v>2</v>
      </c>
      <c r="Q50" s="12">
        <v>2</v>
      </c>
      <c r="R50" s="12">
        <v>2.052</v>
      </c>
      <c r="S50" s="12">
        <v>3</v>
      </c>
      <c r="T50" s="12">
        <v>250</v>
      </c>
      <c r="U50" s="15">
        <v>1.3227312920000001</v>
      </c>
      <c r="V50" s="15">
        <v>7.4156374999999997E-2</v>
      </c>
      <c r="W50" s="28">
        <f t="shared" si="5"/>
        <v>0</v>
      </c>
      <c r="X50" s="12"/>
      <c r="Y50" s="12" t="s">
        <v>26</v>
      </c>
      <c r="Z50" s="12" t="s">
        <v>26</v>
      </c>
      <c r="AA50" s="12">
        <v>2</v>
      </c>
      <c r="AB50" s="17">
        <v>1.72</v>
      </c>
      <c r="AC50" s="28">
        <f t="shared" si="6"/>
        <v>0</v>
      </c>
      <c r="AD50">
        <v>250</v>
      </c>
      <c r="AE50">
        <v>317.49599999999998</v>
      </c>
      <c r="AF50">
        <v>22.091999999999999</v>
      </c>
      <c r="AG50">
        <v>4</v>
      </c>
      <c r="AH50">
        <v>4.97</v>
      </c>
      <c r="AI50">
        <v>5</v>
      </c>
      <c r="AJ50">
        <f t="shared" si="7"/>
        <v>1</v>
      </c>
      <c r="AK50">
        <v>5</v>
      </c>
      <c r="AL50">
        <v>0.8</v>
      </c>
      <c r="AM50">
        <v>0.32</v>
      </c>
      <c r="AN50">
        <v>4</v>
      </c>
      <c r="AO50">
        <v>4.5999999999999996</v>
      </c>
      <c r="AP50">
        <v>5</v>
      </c>
      <c r="AQ50">
        <f t="shared" si="8"/>
        <v>1</v>
      </c>
    </row>
    <row r="51" spans="1:43" ht="13">
      <c r="A51" s="12" t="s">
        <v>127</v>
      </c>
      <c r="B51" s="13" t="s">
        <v>131</v>
      </c>
      <c r="C51" s="12">
        <v>48</v>
      </c>
      <c r="D51" s="12">
        <v>176</v>
      </c>
      <c r="E51" s="14">
        <f t="shared" si="9"/>
        <v>3</v>
      </c>
      <c r="F51" s="14">
        <f t="shared" si="10"/>
        <v>3</v>
      </c>
      <c r="G51" s="14">
        <f t="shared" si="11"/>
        <v>3</v>
      </c>
      <c r="H51" s="14" t="str">
        <f t="shared" si="12"/>
        <v>OK</v>
      </c>
      <c r="I51" s="12">
        <v>48</v>
      </c>
      <c r="J51" s="12">
        <v>176</v>
      </c>
      <c r="K51" s="16">
        <v>156028368794326</v>
      </c>
      <c r="L51" s="12">
        <v>11</v>
      </c>
      <c r="M51" s="12">
        <v>4</v>
      </c>
      <c r="N51" s="12">
        <v>2</v>
      </c>
      <c r="O51" s="12">
        <v>6</v>
      </c>
      <c r="P51" s="12">
        <f t="shared" si="4"/>
        <v>3</v>
      </c>
      <c r="Q51" s="12">
        <v>3</v>
      </c>
      <c r="R51" s="12">
        <v>3.48</v>
      </c>
      <c r="S51" s="12">
        <v>4</v>
      </c>
      <c r="T51" s="12">
        <v>250</v>
      </c>
      <c r="U51" s="15">
        <v>3.0368565830000001</v>
      </c>
      <c r="V51" s="15">
        <v>0.25031545799999999</v>
      </c>
      <c r="W51" s="28">
        <f t="shared" si="5"/>
        <v>0</v>
      </c>
      <c r="X51" s="12"/>
      <c r="Y51" s="12" t="s">
        <v>26</v>
      </c>
      <c r="Z51" s="12" t="s">
        <v>26</v>
      </c>
      <c r="AA51" s="12">
        <v>3</v>
      </c>
      <c r="AB51" s="17">
        <v>15.64</v>
      </c>
      <c r="AC51" s="28">
        <f t="shared" si="6"/>
        <v>0</v>
      </c>
      <c r="AD51">
        <v>90</v>
      </c>
      <c r="AE51">
        <v>105.496</v>
      </c>
      <c r="AF51">
        <v>1.177</v>
      </c>
      <c r="AG51">
        <v>6</v>
      </c>
      <c r="AH51">
        <v>6</v>
      </c>
      <c r="AI51">
        <v>6</v>
      </c>
      <c r="AJ51">
        <f t="shared" si="7"/>
        <v>1</v>
      </c>
      <c r="AK51">
        <v>5</v>
      </c>
      <c r="AL51">
        <v>1.63</v>
      </c>
      <c r="AM51">
        <v>0.98</v>
      </c>
      <c r="AN51">
        <v>5</v>
      </c>
      <c r="AO51">
        <v>5.2</v>
      </c>
      <c r="AP51">
        <v>6</v>
      </c>
      <c r="AQ51">
        <f t="shared" si="8"/>
        <v>0.66666666666666663</v>
      </c>
    </row>
    <row r="52" spans="1:43" ht="13">
      <c r="A52" s="12" t="s">
        <v>127</v>
      </c>
      <c r="B52" s="13" t="s">
        <v>130</v>
      </c>
      <c r="C52" s="12">
        <v>39</v>
      </c>
      <c r="D52" s="12">
        <v>46</v>
      </c>
      <c r="E52" s="14">
        <f t="shared" si="9"/>
        <v>1</v>
      </c>
      <c r="F52" s="14">
        <f t="shared" si="10"/>
        <v>1</v>
      </c>
      <c r="G52" s="14">
        <f t="shared" si="11"/>
        <v>1</v>
      </c>
      <c r="H52" s="14" t="str">
        <f t="shared" si="12"/>
        <v>OK</v>
      </c>
      <c r="I52" s="12">
        <v>39</v>
      </c>
      <c r="J52" s="12">
        <v>46</v>
      </c>
      <c r="K52" s="16">
        <v>620782726045884</v>
      </c>
      <c r="L52" s="12">
        <v>5</v>
      </c>
      <c r="M52" s="12">
        <v>11</v>
      </c>
      <c r="N52" s="12">
        <v>1</v>
      </c>
      <c r="O52" s="12">
        <v>6</v>
      </c>
      <c r="P52" s="12">
        <f t="shared" si="4"/>
        <v>1</v>
      </c>
      <c r="Q52" s="12">
        <v>1</v>
      </c>
      <c r="R52" s="12">
        <v>1.9773000000000001</v>
      </c>
      <c r="S52" s="12">
        <v>2</v>
      </c>
      <c r="T52" s="12">
        <v>44</v>
      </c>
      <c r="U52" s="15">
        <v>0.57268241600000003</v>
      </c>
      <c r="V52" s="15">
        <v>0.57260270800000002</v>
      </c>
      <c r="W52" s="28">
        <f t="shared" si="5"/>
        <v>0</v>
      </c>
      <c r="X52" s="12"/>
      <c r="Y52" s="12" t="s">
        <v>26</v>
      </c>
      <c r="Z52" s="12" t="s">
        <v>26</v>
      </c>
      <c r="AA52" s="12">
        <v>1</v>
      </c>
      <c r="AB52" s="17">
        <v>2.11</v>
      </c>
      <c r="AC52" s="28">
        <f t="shared" si="6"/>
        <v>0</v>
      </c>
      <c r="AD52">
        <v>90</v>
      </c>
      <c r="AE52">
        <v>60.026000000000003</v>
      </c>
      <c r="AF52">
        <v>0.70899999999999996</v>
      </c>
      <c r="AG52">
        <v>4</v>
      </c>
      <c r="AH52">
        <v>4</v>
      </c>
      <c r="AI52">
        <v>4</v>
      </c>
      <c r="AJ52">
        <f t="shared" si="7"/>
        <v>3</v>
      </c>
      <c r="AK52">
        <v>5</v>
      </c>
      <c r="AL52">
        <v>0.73</v>
      </c>
      <c r="AM52">
        <v>0.73</v>
      </c>
      <c r="AN52">
        <v>4</v>
      </c>
      <c r="AO52">
        <v>4</v>
      </c>
      <c r="AP52">
        <v>4</v>
      </c>
      <c r="AQ52">
        <f t="shared" si="8"/>
        <v>3</v>
      </c>
    </row>
    <row r="53" spans="1:43" ht="13">
      <c r="A53" s="12" t="s">
        <v>127</v>
      </c>
      <c r="B53" s="13" t="s">
        <v>129</v>
      </c>
      <c r="C53" s="12">
        <v>32</v>
      </c>
      <c r="D53" s="12">
        <v>90</v>
      </c>
      <c r="E53" s="14">
        <f t="shared" si="9"/>
        <v>3</v>
      </c>
      <c r="F53" s="14">
        <f t="shared" si="10"/>
        <v>3</v>
      </c>
      <c r="G53" s="14">
        <f t="shared" si="11"/>
        <v>3</v>
      </c>
      <c r="H53" s="14" t="str">
        <f t="shared" si="12"/>
        <v>OK</v>
      </c>
      <c r="I53" s="12">
        <v>32</v>
      </c>
      <c r="J53" s="12">
        <v>90</v>
      </c>
      <c r="K53" s="16">
        <v>181451612903226</v>
      </c>
      <c r="L53" s="12">
        <v>11</v>
      </c>
      <c r="M53" s="12">
        <v>4</v>
      </c>
      <c r="N53" s="12">
        <v>2</v>
      </c>
      <c r="O53" s="12">
        <v>5</v>
      </c>
      <c r="P53" s="12">
        <f t="shared" si="4"/>
        <v>3</v>
      </c>
      <c r="Q53" s="12">
        <v>3</v>
      </c>
      <c r="R53" s="12">
        <v>3.0110999999999999</v>
      </c>
      <c r="S53" s="12">
        <v>4</v>
      </c>
      <c r="T53" s="12">
        <v>90</v>
      </c>
      <c r="U53" s="15">
        <v>0.36813620899999999</v>
      </c>
      <c r="V53" s="15">
        <v>4.4840000000000001E-3</v>
      </c>
      <c r="W53" s="28">
        <f t="shared" si="5"/>
        <v>0</v>
      </c>
      <c r="X53" s="12"/>
      <c r="Y53" s="12" t="s">
        <v>26</v>
      </c>
      <c r="Z53" s="12" t="s">
        <v>26</v>
      </c>
      <c r="AA53" s="12">
        <v>3</v>
      </c>
      <c r="AB53" s="17">
        <v>2.97</v>
      </c>
      <c r="AC53" s="28">
        <f t="shared" si="6"/>
        <v>0</v>
      </c>
      <c r="AD53">
        <v>250</v>
      </c>
      <c r="AE53">
        <v>84.21</v>
      </c>
      <c r="AF53">
        <v>0.32200000000000001</v>
      </c>
      <c r="AG53">
        <v>4</v>
      </c>
      <c r="AH53">
        <v>4.24</v>
      </c>
      <c r="AI53">
        <v>5</v>
      </c>
      <c r="AJ53">
        <f t="shared" si="7"/>
        <v>0.33333333333333331</v>
      </c>
      <c r="AK53">
        <v>5</v>
      </c>
      <c r="AL53">
        <v>1.1200000000000001</v>
      </c>
      <c r="AM53">
        <v>1.1200000000000001</v>
      </c>
      <c r="AN53">
        <v>4</v>
      </c>
      <c r="AO53">
        <v>4</v>
      </c>
      <c r="AP53">
        <v>4</v>
      </c>
      <c r="AQ53">
        <f t="shared" si="8"/>
        <v>0.33333333333333331</v>
      </c>
    </row>
    <row r="54" spans="1:43" ht="13">
      <c r="A54" s="12" t="s">
        <v>127</v>
      </c>
      <c r="B54" s="13" t="s">
        <v>128</v>
      </c>
      <c r="C54" s="12">
        <v>30</v>
      </c>
      <c r="D54" s="12">
        <v>103</v>
      </c>
      <c r="E54" s="14">
        <f t="shared" si="9"/>
        <v>2</v>
      </c>
      <c r="F54" s="14">
        <f t="shared" si="10"/>
        <v>2</v>
      </c>
      <c r="G54" s="14">
        <f t="shared" si="11"/>
        <v>2</v>
      </c>
      <c r="H54" s="14" t="str">
        <f t="shared" si="12"/>
        <v>OK</v>
      </c>
      <c r="I54" s="12">
        <v>30</v>
      </c>
      <c r="J54" s="12">
        <v>103</v>
      </c>
      <c r="K54" s="16">
        <v>236781609195402</v>
      </c>
      <c r="L54" s="12">
        <v>9</v>
      </c>
      <c r="M54" s="12">
        <v>6</v>
      </c>
      <c r="N54" s="12">
        <v>1</v>
      </c>
      <c r="O54" s="12">
        <v>5</v>
      </c>
      <c r="P54" s="12">
        <f t="shared" si="4"/>
        <v>2</v>
      </c>
      <c r="Q54" s="12">
        <v>2</v>
      </c>
      <c r="R54" s="12">
        <v>2.952</v>
      </c>
      <c r="S54" s="12">
        <v>3</v>
      </c>
      <c r="T54" s="12">
        <v>250</v>
      </c>
      <c r="U54" s="15">
        <v>0.76666304100000005</v>
      </c>
      <c r="V54" s="15">
        <v>1.7749833E-2</v>
      </c>
      <c r="W54" s="28">
        <f t="shared" si="5"/>
        <v>0</v>
      </c>
      <c r="X54" s="12"/>
      <c r="Y54" s="12" t="s">
        <v>26</v>
      </c>
      <c r="Z54" s="12" t="s">
        <v>26</v>
      </c>
      <c r="AA54" s="12">
        <v>2</v>
      </c>
      <c r="AB54" s="17">
        <v>2.16</v>
      </c>
      <c r="AC54" s="28">
        <f t="shared" si="6"/>
        <v>0</v>
      </c>
      <c r="AD54">
        <v>90</v>
      </c>
      <c r="AE54">
        <v>21.541</v>
      </c>
      <c r="AF54">
        <v>0.254</v>
      </c>
      <c r="AG54">
        <v>4</v>
      </c>
      <c r="AH54">
        <v>4</v>
      </c>
      <c r="AI54">
        <v>4</v>
      </c>
      <c r="AJ54">
        <f t="shared" si="7"/>
        <v>1</v>
      </c>
      <c r="AK54">
        <v>5</v>
      </c>
      <c r="AL54">
        <v>1.25</v>
      </c>
      <c r="AM54">
        <v>0.75</v>
      </c>
      <c r="AN54">
        <v>4</v>
      </c>
      <c r="AO54">
        <v>4</v>
      </c>
      <c r="AP54">
        <v>4</v>
      </c>
      <c r="AQ54">
        <f t="shared" si="8"/>
        <v>1</v>
      </c>
    </row>
    <row r="55" spans="1:43" ht="13">
      <c r="P55" s="12">
        <f t="shared" si="4"/>
        <v>3.3653846153846154</v>
      </c>
      <c r="Q55" s="27">
        <f>AVERAGE(Q3:Q54)</f>
        <v>3.3653846153846154</v>
      </c>
      <c r="R55" s="27">
        <f t="shared" ref="R55:W55" si="13">AVERAGE(R3:R54)</f>
        <v>3.9460634615384618</v>
      </c>
      <c r="S55" s="27">
        <f t="shared" si="13"/>
        <v>4.75</v>
      </c>
      <c r="T55" s="27">
        <f t="shared" si="13"/>
        <v>223.17307692307693</v>
      </c>
      <c r="U55">
        <f t="shared" si="13"/>
        <v>92.593713072576918</v>
      </c>
      <c r="V55">
        <f t="shared" si="13"/>
        <v>3.7026257285961552</v>
      </c>
      <c r="W55" s="27">
        <f t="shared" si="13"/>
        <v>9.6153846153846159E-3</v>
      </c>
      <c r="AA55">
        <f t="shared" ref="AA55:AC55" si="14">AVERAGE(AA3:AA54)</f>
        <v>3.6153846153846154</v>
      </c>
      <c r="AB55" s="25">
        <f t="shared" si="14"/>
        <v>22516.247500000012</v>
      </c>
      <c r="AC55" s="25">
        <f t="shared" si="14"/>
        <v>5.6089743589743585E-2</v>
      </c>
      <c r="AD55" s="25">
        <f t="shared" ref="AD55:AJ55" si="15">AVERAGE(AD3:AD54)</f>
        <v>72.34615384615384</v>
      </c>
      <c r="AE55" s="25">
        <f t="shared" si="15"/>
        <v>2916.1298076923076</v>
      </c>
      <c r="AF55" s="25">
        <f t="shared" si="15"/>
        <v>1187.8192307692311</v>
      </c>
      <c r="AG55" s="25">
        <f t="shared" si="15"/>
        <v>13.211538461538462</v>
      </c>
      <c r="AH55" s="25">
        <f t="shared" si="15"/>
        <v>13.518076923076926</v>
      </c>
      <c r="AI55" s="25">
        <f t="shared" si="15"/>
        <v>13.692307692307692</v>
      </c>
      <c r="AJ55" s="25">
        <f t="shared" si="15"/>
        <v>3.5567307692307684</v>
      </c>
      <c r="AK55" s="25">
        <f t="shared" ref="AK55:AP55" si="16">AVERAGE(AK3:AK54)</f>
        <v>5</v>
      </c>
      <c r="AL55" s="25">
        <f t="shared" si="16"/>
        <v>1240.3103846153847</v>
      </c>
      <c r="AM55" s="25">
        <f t="shared" si="16"/>
        <v>255.5873076923076</v>
      </c>
      <c r="AN55" s="25">
        <f t="shared" si="16"/>
        <v>13.096153846153847</v>
      </c>
      <c r="AO55" s="25">
        <f t="shared" si="16"/>
        <v>13.280769230769234</v>
      </c>
      <c r="AP55" s="25">
        <f t="shared" si="16"/>
        <v>13.48076923076923</v>
      </c>
      <c r="AQ55">
        <f t="shared" si="8"/>
        <v>2.8914285714285719</v>
      </c>
    </row>
    <row r="56" spans="1:43" ht="13">
      <c r="U56" s="20"/>
      <c r="V56" s="20"/>
      <c r="W56">
        <f>COUNTIF(W3:W54,0)</f>
        <v>51</v>
      </c>
      <c r="AB56" s="21"/>
      <c r="AC56">
        <f>COUNTIF(AC3:AC54,0)</f>
        <v>45</v>
      </c>
      <c r="AJ56">
        <f>COUNTIF(AJ3:AJ54,0)</f>
        <v>0</v>
      </c>
      <c r="AQ56">
        <f>COUNTIF(AQ3:AQ54,0)</f>
        <v>0</v>
      </c>
    </row>
    <row r="57" spans="1:43" ht="13">
      <c r="U57" s="20"/>
      <c r="V57" s="20"/>
      <c r="AB57" s="21"/>
    </row>
    <row r="58" spans="1:43" ht="14" thickBot="1">
      <c r="U58" s="20"/>
      <c r="V58" s="20"/>
      <c r="AB58" s="21"/>
    </row>
    <row r="59" spans="1:43" ht="14" thickBot="1">
      <c r="P59" s="50"/>
      <c r="Q59" s="46" t="s">
        <v>18</v>
      </c>
      <c r="R59" s="47" t="s">
        <v>169</v>
      </c>
      <c r="S59" s="47" t="s">
        <v>170</v>
      </c>
      <c r="T59" s="47" t="s">
        <v>177</v>
      </c>
      <c r="U59" s="48" t="s">
        <v>272</v>
      </c>
      <c r="V59" s="48" t="s">
        <v>180</v>
      </c>
      <c r="W59" s="47" t="s">
        <v>176</v>
      </c>
      <c r="X59" s="49" t="s">
        <v>17</v>
      </c>
      <c r="AB59" s="21"/>
    </row>
    <row r="60" spans="1:43" ht="13">
      <c r="P60" s="51" t="s">
        <v>3</v>
      </c>
      <c r="Q60" s="37">
        <f>AA55</f>
        <v>3.6153846153846154</v>
      </c>
      <c r="R60" s="37" t="s">
        <v>195</v>
      </c>
      <c r="S60" s="37" t="s">
        <v>195</v>
      </c>
      <c r="T60" s="37" t="s">
        <v>195</v>
      </c>
      <c r="U60" s="39" t="s">
        <v>195</v>
      </c>
      <c r="V60" s="39">
        <f>AB55</f>
        <v>22516.247500000012</v>
      </c>
      <c r="W60" s="38">
        <f>AC55</f>
        <v>5.6089743589743585E-2</v>
      </c>
      <c r="X60" s="40">
        <f>AC56</f>
        <v>45</v>
      </c>
      <c r="AB60" s="21"/>
    </row>
    <row r="61" spans="1:43" ht="13">
      <c r="P61" s="51" t="s">
        <v>254</v>
      </c>
      <c r="Q61" s="37">
        <f>Q55</f>
        <v>3.3653846153846154</v>
      </c>
      <c r="R61" s="37">
        <f>R55</f>
        <v>3.9460634615384618</v>
      </c>
      <c r="S61" s="37">
        <f>S55</f>
        <v>4.75</v>
      </c>
      <c r="T61" s="37">
        <f>T55</f>
        <v>223.17307692307693</v>
      </c>
      <c r="U61" s="39">
        <f>V55</f>
        <v>3.7026257285961552</v>
      </c>
      <c r="V61" s="39">
        <f>U55</f>
        <v>92.593713072576918</v>
      </c>
      <c r="W61" s="38">
        <f>W55</f>
        <v>9.6153846153846159E-3</v>
      </c>
      <c r="X61" s="40">
        <f>W56</f>
        <v>51</v>
      </c>
      <c r="AB61" s="21"/>
    </row>
    <row r="62" spans="1:43" ht="13">
      <c r="P62" s="51" t="s">
        <v>178</v>
      </c>
      <c r="Q62" s="37">
        <f>AG55</f>
        <v>13.211538461538462</v>
      </c>
      <c r="R62" s="37">
        <f>AH55</f>
        <v>13.518076923076926</v>
      </c>
      <c r="S62" s="37">
        <f>AI55</f>
        <v>13.692307692307692</v>
      </c>
      <c r="T62" s="37">
        <f>AD55</f>
        <v>72.34615384615384</v>
      </c>
      <c r="U62" s="39">
        <f>AF55</f>
        <v>1187.8192307692311</v>
      </c>
      <c r="V62" s="39">
        <f>AE55</f>
        <v>2916.1298076923076</v>
      </c>
      <c r="W62" s="41">
        <f>AJ55</f>
        <v>3.5567307692307684</v>
      </c>
      <c r="X62" s="40">
        <f>AJ56</f>
        <v>0</v>
      </c>
      <c r="AB62" s="21"/>
    </row>
    <row r="63" spans="1:43" ht="14" thickBot="1">
      <c r="P63" s="52" t="s">
        <v>271</v>
      </c>
      <c r="Q63" s="42">
        <f>AN55</f>
        <v>13.096153846153847</v>
      </c>
      <c r="R63" s="42">
        <f>AO55</f>
        <v>13.280769230769234</v>
      </c>
      <c r="S63" s="42">
        <f>AP55</f>
        <v>13.48076923076923</v>
      </c>
      <c r="T63" s="42">
        <f>AK55</f>
        <v>5</v>
      </c>
      <c r="U63" s="43">
        <f>AM55</f>
        <v>255.5873076923076</v>
      </c>
      <c r="V63" s="43">
        <f>AL55</f>
        <v>1240.3103846153847</v>
      </c>
      <c r="W63" s="44">
        <f>AQ55</f>
        <v>2.8914285714285719</v>
      </c>
      <c r="X63" s="45">
        <f>AQ56</f>
        <v>0</v>
      </c>
      <c r="AB63" s="21"/>
    </row>
    <row r="64" spans="1:43" ht="13">
      <c r="U64" s="20"/>
      <c r="V64" s="20"/>
      <c r="AB64" s="21"/>
    </row>
    <row r="65" spans="21:28" ht="13">
      <c r="U65" s="20"/>
      <c r="V65" s="20"/>
      <c r="AB65" s="21"/>
    </row>
    <row r="66" spans="21:28" ht="13">
      <c r="U66" s="20"/>
      <c r="V66" s="20"/>
      <c r="AB66" s="21"/>
    </row>
    <row r="67" spans="21:28" ht="13">
      <c r="U67" s="20"/>
      <c r="V67" s="20"/>
      <c r="AB67" s="21"/>
    </row>
    <row r="68" spans="21:28" ht="13">
      <c r="U68" s="20"/>
      <c r="V68" s="20"/>
      <c r="AB68" s="21"/>
    </row>
    <row r="69" spans="21:28" ht="13">
      <c r="U69" s="20"/>
      <c r="V69" s="20"/>
      <c r="AB69" s="21"/>
    </row>
    <row r="70" spans="21:28" ht="13">
      <c r="U70" s="20"/>
      <c r="V70" s="20"/>
      <c r="AB70" s="21"/>
    </row>
    <row r="71" spans="21:28" ht="13">
      <c r="U71" s="20"/>
      <c r="V71" s="20"/>
      <c r="AB71" s="21"/>
    </row>
    <row r="72" spans="21:28" ht="13">
      <c r="U72" s="20"/>
      <c r="V72" s="20"/>
      <c r="AB72" s="21"/>
    </row>
    <row r="73" spans="21:28" ht="13">
      <c r="U73" s="20"/>
      <c r="V73" s="20"/>
      <c r="AB73" s="21"/>
    </row>
    <row r="74" spans="21:28" ht="13">
      <c r="U74" s="20"/>
      <c r="V74" s="20"/>
      <c r="AB74" s="21"/>
    </row>
    <row r="75" spans="21:28" ht="13">
      <c r="U75" s="20"/>
      <c r="V75" s="20"/>
      <c r="AB75" s="21"/>
    </row>
    <row r="76" spans="21:28" ht="13">
      <c r="U76" s="20"/>
      <c r="V76" s="20"/>
      <c r="AB76" s="21"/>
    </row>
    <row r="77" spans="21:28" ht="13">
      <c r="U77" s="20"/>
      <c r="V77" s="20"/>
      <c r="AB77" s="21"/>
    </row>
    <row r="78" spans="21:28" ht="13">
      <c r="U78" s="20"/>
      <c r="V78" s="20"/>
      <c r="AB78" s="21"/>
    </row>
    <row r="79" spans="21:28" ht="13">
      <c r="U79" s="20"/>
      <c r="V79" s="20"/>
      <c r="AB79" s="21"/>
    </row>
    <row r="80" spans="21:28" ht="13">
      <c r="U80" s="20"/>
      <c r="V80" s="20"/>
      <c r="AB80" s="21"/>
    </row>
    <row r="81" spans="21:28" ht="13">
      <c r="U81" s="20"/>
      <c r="V81" s="20"/>
      <c r="AB81" s="21"/>
    </row>
    <row r="82" spans="21:28" ht="13">
      <c r="U82" s="20"/>
      <c r="V82" s="20"/>
      <c r="AB82" s="21"/>
    </row>
    <row r="83" spans="21:28" ht="13">
      <c r="U83" s="20"/>
      <c r="V83" s="20"/>
      <c r="AB83" s="21"/>
    </row>
    <row r="84" spans="21:28" ht="13">
      <c r="U84" s="20"/>
      <c r="V84" s="20"/>
      <c r="AB84" s="21"/>
    </row>
    <row r="85" spans="21:28" ht="13">
      <c r="U85" s="20"/>
      <c r="V85" s="20"/>
      <c r="AB85" s="21"/>
    </row>
    <row r="86" spans="21:28" ht="13">
      <c r="U86" s="20"/>
      <c r="V86" s="20"/>
      <c r="AB86" s="21"/>
    </row>
    <row r="87" spans="21:28" ht="13">
      <c r="U87" s="20"/>
      <c r="V87" s="20"/>
      <c r="AB87" s="21"/>
    </row>
    <row r="88" spans="21:28" ht="13">
      <c r="U88" s="20"/>
      <c r="V88" s="20"/>
      <c r="AB88" s="21"/>
    </row>
    <row r="89" spans="21:28" ht="13">
      <c r="U89" s="20"/>
      <c r="V89" s="20"/>
      <c r="AB89" s="21"/>
    </row>
    <row r="90" spans="21:28" ht="13">
      <c r="U90" s="20"/>
      <c r="V90" s="20"/>
      <c r="AB90" s="21"/>
    </row>
    <row r="91" spans="21:28" ht="13">
      <c r="U91" s="20"/>
      <c r="V91" s="20"/>
      <c r="AB91" s="21"/>
    </row>
    <row r="92" spans="21:28" ht="13">
      <c r="U92" s="20"/>
      <c r="V92" s="20"/>
      <c r="AB92" s="21"/>
    </row>
    <row r="93" spans="21:28" ht="13">
      <c r="U93" s="20"/>
      <c r="V93" s="20"/>
      <c r="AB93" s="21"/>
    </row>
    <row r="94" spans="21:28" ht="13">
      <c r="U94" s="20"/>
      <c r="V94" s="20"/>
      <c r="AB94" s="21"/>
    </row>
    <row r="95" spans="21:28" ht="13">
      <c r="U95" s="20"/>
      <c r="V95" s="20"/>
      <c r="AB95" s="21"/>
    </row>
    <row r="96" spans="21:28" ht="13">
      <c r="U96" s="20"/>
      <c r="V96" s="20"/>
      <c r="AB96" s="21"/>
    </row>
    <row r="97" spans="21:28" ht="13">
      <c r="U97" s="20"/>
      <c r="V97" s="20"/>
      <c r="AB97" s="21"/>
    </row>
    <row r="98" spans="21:28" ht="13">
      <c r="U98" s="20"/>
      <c r="V98" s="20"/>
      <c r="AB98" s="21"/>
    </row>
    <row r="99" spans="21:28" ht="13">
      <c r="U99" s="20"/>
      <c r="V99" s="20"/>
      <c r="AB99" s="21"/>
    </row>
    <row r="100" spans="21:28" ht="13">
      <c r="U100" s="20"/>
      <c r="V100" s="20"/>
      <c r="AB100" s="21"/>
    </row>
    <row r="101" spans="21:28" ht="13">
      <c r="U101" s="20"/>
      <c r="V101" s="20"/>
      <c r="AB101" s="21"/>
    </row>
    <row r="102" spans="21:28" ht="13">
      <c r="U102" s="20"/>
      <c r="V102" s="20"/>
      <c r="AB102" s="21"/>
    </row>
    <row r="103" spans="21:28" ht="13">
      <c r="U103" s="20"/>
      <c r="V103" s="20"/>
      <c r="AB103" s="21"/>
    </row>
    <row r="104" spans="21:28" ht="13">
      <c r="U104" s="20"/>
      <c r="V104" s="20"/>
      <c r="AB104" s="21"/>
    </row>
    <row r="105" spans="21:28" ht="13">
      <c r="U105" s="20"/>
      <c r="V105" s="20"/>
      <c r="AB105" s="21"/>
    </row>
    <row r="106" spans="21:28" ht="13">
      <c r="U106" s="20"/>
      <c r="V106" s="20"/>
      <c r="AB106" s="21"/>
    </row>
    <row r="107" spans="21:28" ht="13">
      <c r="U107" s="20"/>
      <c r="V107" s="20"/>
      <c r="AB107" s="21"/>
    </row>
    <row r="108" spans="21:28" ht="13">
      <c r="U108" s="20"/>
      <c r="V108" s="20"/>
      <c r="AB108" s="21"/>
    </row>
    <row r="109" spans="21:28" ht="13">
      <c r="U109" s="20"/>
      <c r="V109" s="20"/>
      <c r="AB109" s="21"/>
    </row>
    <row r="110" spans="21:28" ht="13">
      <c r="U110" s="20"/>
      <c r="V110" s="20"/>
      <c r="AB110" s="21"/>
    </row>
    <row r="111" spans="21:28" ht="13">
      <c r="U111" s="20"/>
      <c r="V111" s="20"/>
      <c r="AB111" s="21"/>
    </row>
    <row r="112" spans="21:28" ht="13">
      <c r="U112" s="20"/>
      <c r="V112" s="20"/>
      <c r="AB112" s="21"/>
    </row>
    <row r="113" spans="21:28" ht="13">
      <c r="U113" s="20"/>
      <c r="V113" s="20"/>
      <c r="AB113" s="21"/>
    </row>
    <row r="114" spans="21:28" ht="13">
      <c r="U114" s="20"/>
      <c r="V114" s="20"/>
      <c r="AB114" s="21"/>
    </row>
    <row r="115" spans="21:28" ht="13">
      <c r="U115" s="20"/>
      <c r="V115" s="20"/>
      <c r="AB115" s="21"/>
    </row>
    <row r="116" spans="21:28" ht="13">
      <c r="U116" s="20"/>
      <c r="V116" s="20"/>
      <c r="AB116" s="21"/>
    </row>
    <row r="117" spans="21:28" ht="13">
      <c r="U117" s="20"/>
      <c r="V117" s="20"/>
      <c r="AB117" s="21"/>
    </row>
    <row r="118" spans="21:28" ht="13">
      <c r="U118" s="20"/>
      <c r="V118" s="20"/>
      <c r="AB118" s="21"/>
    </row>
    <row r="119" spans="21:28" ht="13">
      <c r="U119" s="20"/>
      <c r="V119" s="20"/>
      <c r="AB119" s="21"/>
    </row>
    <row r="120" spans="21:28" ht="13">
      <c r="U120" s="20"/>
      <c r="V120" s="20"/>
      <c r="AB120" s="21"/>
    </row>
    <row r="121" spans="21:28" ht="13">
      <c r="U121" s="20"/>
      <c r="V121" s="20"/>
      <c r="AB121" s="21"/>
    </row>
    <row r="122" spans="21:28" ht="13">
      <c r="U122" s="20"/>
      <c r="V122" s="20"/>
      <c r="AB122" s="21"/>
    </row>
    <row r="123" spans="21:28" ht="13">
      <c r="U123" s="20"/>
      <c r="V123" s="20"/>
      <c r="AB123" s="21"/>
    </row>
    <row r="124" spans="21:28" ht="13">
      <c r="U124" s="20"/>
      <c r="V124" s="20"/>
      <c r="AB124" s="21"/>
    </row>
    <row r="125" spans="21:28" ht="13">
      <c r="U125" s="20"/>
      <c r="V125" s="20"/>
      <c r="AB125" s="21"/>
    </row>
    <row r="126" spans="21:28" ht="13">
      <c r="U126" s="20"/>
      <c r="V126" s="20"/>
      <c r="AB126" s="21"/>
    </row>
    <row r="127" spans="21:28" ht="13">
      <c r="U127" s="20"/>
      <c r="V127" s="20"/>
      <c r="AB127" s="21"/>
    </row>
    <row r="128" spans="21:28" ht="13">
      <c r="U128" s="20"/>
      <c r="V128" s="20"/>
      <c r="AB128" s="21"/>
    </row>
    <row r="129" spans="21:28" ht="13">
      <c r="U129" s="20"/>
      <c r="V129" s="20"/>
      <c r="AB129" s="21"/>
    </row>
    <row r="130" spans="21:28" ht="13">
      <c r="U130" s="20"/>
      <c r="V130" s="20"/>
      <c r="AB130" s="21"/>
    </row>
    <row r="131" spans="21:28" ht="13">
      <c r="U131" s="20"/>
      <c r="V131" s="20"/>
      <c r="AB131" s="21"/>
    </row>
    <row r="132" spans="21:28" ht="13">
      <c r="U132" s="20"/>
      <c r="V132" s="20"/>
      <c r="AB132" s="21"/>
    </row>
    <row r="133" spans="21:28" ht="13">
      <c r="U133" s="20"/>
      <c r="V133" s="20"/>
      <c r="AB133" s="21"/>
    </row>
    <row r="134" spans="21:28" ht="13">
      <c r="U134" s="20"/>
      <c r="V134" s="20"/>
      <c r="AB134" s="21"/>
    </row>
    <row r="135" spans="21:28" ht="13">
      <c r="U135" s="20"/>
      <c r="V135" s="20"/>
      <c r="AB135" s="21"/>
    </row>
    <row r="136" spans="21:28" ht="13">
      <c r="U136" s="20"/>
      <c r="V136" s="20"/>
      <c r="AB136" s="21"/>
    </row>
    <row r="137" spans="21:28" ht="13">
      <c r="U137" s="20"/>
      <c r="V137" s="20"/>
      <c r="AB137" s="21"/>
    </row>
    <row r="138" spans="21:28" ht="13">
      <c r="U138" s="20"/>
      <c r="V138" s="20"/>
      <c r="AB138" s="21"/>
    </row>
    <row r="139" spans="21:28" ht="13">
      <c r="U139" s="20"/>
      <c r="V139" s="20"/>
      <c r="AB139" s="21"/>
    </row>
    <row r="140" spans="21:28" ht="13">
      <c r="U140" s="20"/>
      <c r="V140" s="20"/>
      <c r="AB140" s="21"/>
    </row>
    <row r="141" spans="21:28" ht="13">
      <c r="U141" s="20"/>
      <c r="V141" s="20"/>
      <c r="AB141" s="21"/>
    </row>
    <row r="142" spans="21:28" ht="13">
      <c r="U142" s="20"/>
      <c r="V142" s="20"/>
      <c r="AB142" s="21"/>
    </row>
    <row r="143" spans="21:28" ht="13">
      <c r="U143" s="20"/>
      <c r="V143" s="20"/>
      <c r="AB143" s="21"/>
    </row>
    <row r="144" spans="21:28" ht="13">
      <c r="U144" s="20"/>
      <c r="V144" s="20"/>
      <c r="AB144" s="21"/>
    </row>
    <row r="145" spans="21:28" ht="13">
      <c r="U145" s="20"/>
      <c r="V145" s="20"/>
      <c r="AB145" s="21"/>
    </row>
    <row r="146" spans="21:28" ht="13">
      <c r="U146" s="20"/>
      <c r="V146" s="20"/>
      <c r="AB146" s="21"/>
    </row>
    <row r="147" spans="21:28" ht="13">
      <c r="U147" s="20"/>
      <c r="V147" s="20"/>
      <c r="AB147" s="21"/>
    </row>
    <row r="148" spans="21:28" ht="13">
      <c r="U148" s="20"/>
      <c r="V148" s="20"/>
      <c r="AB148" s="21"/>
    </row>
    <row r="149" spans="21:28" ht="13">
      <c r="U149" s="20"/>
      <c r="V149" s="20"/>
      <c r="AB149" s="21"/>
    </row>
    <row r="150" spans="21:28" ht="13">
      <c r="U150" s="20"/>
      <c r="V150" s="20"/>
      <c r="AB150" s="21"/>
    </row>
    <row r="151" spans="21:28" ht="13">
      <c r="U151" s="20"/>
      <c r="V151" s="20"/>
      <c r="AB151" s="21"/>
    </row>
    <row r="152" spans="21:28" ht="13">
      <c r="U152" s="20"/>
      <c r="V152" s="20"/>
      <c r="AB152" s="21"/>
    </row>
    <row r="153" spans="21:28" ht="13">
      <c r="U153" s="20"/>
      <c r="V153" s="20"/>
      <c r="AB153" s="21"/>
    </row>
    <row r="154" spans="21:28" ht="13">
      <c r="U154" s="20"/>
      <c r="V154" s="20"/>
      <c r="AB154" s="21"/>
    </row>
    <row r="155" spans="21:28" ht="13">
      <c r="U155" s="20"/>
      <c r="V155" s="20"/>
      <c r="AB155" s="21"/>
    </row>
    <row r="156" spans="21:28" ht="13">
      <c r="U156" s="20"/>
      <c r="V156" s="20"/>
      <c r="AB156" s="21"/>
    </row>
    <row r="157" spans="21:28" ht="13">
      <c r="U157" s="20"/>
      <c r="V157" s="20"/>
      <c r="AB157" s="21"/>
    </row>
    <row r="158" spans="21:28" ht="13">
      <c r="U158" s="20"/>
      <c r="V158" s="20"/>
      <c r="AB158" s="21"/>
    </row>
    <row r="159" spans="21:28" ht="13">
      <c r="U159" s="20"/>
      <c r="V159" s="20"/>
      <c r="AB159" s="21"/>
    </row>
    <row r="160" spans="21:28" ht="13">
      <c r="U160" s="20"/>
      <c r="V160" s="20"/>
      <c r="AB160" s="21"/>
    </row>
    <row r="161" spans="21:28" ht="13">
      <c r="U161" s="20"/>
      <c r="V161" s="20"/>
      <c r="AB161" s="21"/>
    </row>
    <row r="162" spans="21:28" ht="13">
      <c r="U162" s="20"/>
      <c r="V162" s="20"/>
      <c r="AB162" s="21"/>
    </row>
    <row r="163" spans="21:28" ht="13">
      <c r="U163" s="20"/>
      <c r="V163" s="20"/>
      <c r="AB163" s="21"/>
    </row>
    <row r="164" spans="21:28" ht="13">
      <c r="U164" s="20"/>
      <c r="V164" s="20"/>
      <c r="AB164" s="21"/>
    </row>
    <row r="165" spans="21:28" ht="13">
      <c r="U165" s="20"/>
      <c r="V165" s="20"/>
      <c r="AB165" s="21"/>
    </row>
    <row r="166" spans="21:28" ht="13">
      <c r="U166" s="20"/>
      <c r="V166" s="20"/>
      <c r="AB166" s="21"/>
    </row>
    <row r="167" spans="21:28" ht="13">
      <c r="U167" s="20"/>
      <c r="V167" s="20"/>
      <c r="AB167" s="21"/>
    </row>
    <row r="168" spans="21:28" ht="13">
      <c r="U168" s="20"/>
      <c r="V168" s="20"/>
      <c r="AB168" s="21"/>
    </row>
    <row r="169" spans="21:28" ht="13">
      <c r="U169" s="20"/>
      <c r="V169" s="20"/>
      <c r="AB169" s="21"/>
    </row>
    <row r="170" spans="21:28" ht="13">
      <c r="U170" s="20"/>
      <c r="V170" s="20"/>
      <c r="AB170" s="21"/>
    </row>
    <row r="171" spans="21:28" ht="13">
      <c r="U171" s="20"/>
      <c r="V171" s="20"/>
      <c r="AB171" s="21"/>
    </row>
    <row r="172" spans="21:28" ht="13">
      <c r="U172" s="20"/>
      <c r="V172" s="20"/>
      <c r="AB172" s="21"/>
    </row>
    <row r="173" spans="21:28" ht="13">
      <c r="U173" s="20"/>
      <c r="V173" s="20"/>
      <c r="AB173" s="21"/>
    </row>
    <row r="174" spans="21:28" ht="13">
      <c r="U174" s="20"/>
      <c r="V174" s="20"/>
      <c r="AB174" s="21"/>
    </row>
    <row r="175" spans="21:28" ht="13">
      <c r="U175" s="20"/>
      <c r="V175" s="20"/>
      <c r="AB175" s="21"/>
    </row>
    <row r="176" spans="21:28" ht="13">
      <c r="U176" s="20"/>
      <c r="V176" s="20"/>
      <c r="AB176" s="21"/>
    </row>
    <row r="177" spans="21:28" ht="13">
      <c r="U177" s="20"/>
      <c r="V177" s="20"/>
      <c r="AB177" s="21"/>
    </row>
    <row r="178" spans="21:28" ht="13">
      <c r="U178" s="20"/>
      <c r="V178" s="20"/>
      <c r="AB178" s="21"/>
    </row>
    <row r="179" spans="21:28" ht="13">
      <c r="U179" s="20"/>
      <c r="V179" s="20"/>
      <c r="AB179" s="21"/>
    </row>
    <row r="180" spans="21:28" ht="13">
      <c r="U180" s="20"/>
      <c r="V180" s="20"/>
      <c r="AB180" s="21"/>
    </row>
    <row r="181" spans="21:28" ht="13">
      <c r="U181" s="20"/>
      <c r="V181" s="20"/>
      <c r="AB181" s="21"/>
    </row>
    <row r="182" spans="21:28" ht="13">
      <c r="U182" s="20"/>
      <c r="V182" s="20"/>
      <c r="AB182" s="21"/>
    </row>
    <row r="183" spans="21:28" ht="13">
      <c r="U183" s="20"/>
      <c r="V183" s="20"/>
      <c r="AB183" s="21"/>
    </row>
    <row r="184" spans="21:28" ht="13">
      <c r="U184" s="20"/>
      <c r="V184" s="20"/>
      <c r="AB184" s="21"/>
    </row>
    <row r="185" spans="21:28" ht="13">
      <c r="U185" s="20"/>
      <c r="V185" s="20"/>
      <c r="AB185" s="21"/>
    </row>
    <row r="186" spans="21:28" ht="13">
      <c r="U186" s="20"/>
      <c r="V186" s="20"/>
      <c r="AB186" s="21"/>
    </row>
    <row r="187" spans="21:28" ht="13">
      <c r="U187" s="20"/>
      <c r="V187" s="20"/>
      <c r="AB187" s="21"/>
    </row>
    <row r="188" spans="21:28" ht="13">
      <c r="U188" s="20"/>
      <c r="V188" s="20"/>
      <c r="AB188" s="21"/>
    </row>
    <row r="189" spans="21:28" ht="13">
      <c r="U189" s="20"/>
      <c r="V189" s="20"/>
      <c r="AB189" s="21"/>
    </row>
    <row r="190" spans="21:28" ht="13">
      <c r="U190" s="20"/>
      <c r="V190" s="20"/>
      <c r="AB190" s="21"/>
    </row>
    <row r="191" spans="21:28" ht="13">
      <c r="U191" s="20"/>
      <c r="V191" s="20"/>
      <c r="AB191" s="21"/>
    </row>
    <row r="192" spans="21:28" ht="13">
      <c r="U192" s="20"/>
      <c r="V192" s="20"/>
      <c r="AB192" s="21"/>
    </row>
    <row r="193" spans="21:28" ht="13">
      <c r="U193" s="20"/>
      <c r="V193" s="20"/>
      <c r="AB193" s="21"/>
    </row>
    <row r="194" spans="21:28" ht="13">
      <c r="U194" s="20"/>
      <c r="V194" s="20"/>
      <c r="AB194" s="21"/>
    </row>
    <row r="195" spans="21:28" ht="13">
      <c r="U195" s="20"/>
      <c r="V195" s="20"/>
      <c r="AB195" s="21"/>
    </row>
    <row r="196" spans="21:28" ht="13">
      <c r="U196" s="20"/>
      <c r="V196" s="20"/>
      <c r="AB196" s="21"/>
    </row>
    <row r="197" spans="21:28" ht="13">
      <c r="U197" s="20"/>
      <c r="V197" s="20"/>
      <c r="AB197" s="21"/>
    </row>
    <row r="198" spans="21:28" ht="13">
      <c r="U198" s="20"/>
      <c r="V198" s="20"/>
      <c r="AB198" s="21"/>
    </row>
    <row r="199" spans="21:28" ht="13">
      <c r="U199" s="20"/>
      <c r="V199" s="20"/>
      <c r="AB199" s="21"/>
    </row>
    <row r="200" spans="21:28" ht="13">
      <c r="U200" s="20"/>
      <c r="V200" s="20"/>
      <c r="AB200" s="21"/>
    </row>
    <row r="201" spans="21:28" ht="13">
      <c r="U201" s="20"/>
      <c r="V201" s="20"/>
      <c r="AB201" s="21"/>
    </row>
    <row r="202" spans="21:28" ht="13">
      <c r="U202" s="20"/>
      <c r="V202" s="20"/>
      <c r="AB202" s="21"/>
    </row>
    <row r="203" spans="21:28" ht="13">
      <c r="U203" s="20"/>
      <c r="V203" s="20"/>
      <c r="AB203" s="21"/>
    </row>
    <row r="204" spans="21:28" ht="13">
      <c r="U204" s="20"/>
      <c r="V204" s="20"/>
      <c r="AB204" s="21"/>
    </row>
    <row r="205" spans="21:28" ht="13">
      <c r="U205" s="20"/>
      <c r="V205" s="20"/>
      <c r="AB205" s="21"/>
    </row>
    <row r="206" spans="21:28" ht="13">
      <c r="U206" s="20"/>
      <c r="V206" s="20"/>
      <c r="AB206" s="21"/>
    </row>
    <row r="207" spans="21:28" ht="13">
      <c r="U207" s="20"/>
      <c r="V207" s="20"/>
      <c r="AB207" s="21"/>
    </row>
    <row r="208" spans="21:28" ht="13">
      <c r="U208" s="20"/>
      <c r="V208" s="20"/>
      <c r="AB208" s="21"/>
    </row>
    <row r="209" spans="21:28" ht="13">
      <c r="U209" s="20"/>
      <c r="V209" s="20"/>
      <c r="AB209" s="21"/>
    </row>
    <row r="210" spans="21:28" ht="13">
      <c r="U210" s="20"/>
      <c r="V210" s="20"/>
      <c r="AB210" s="21"/>
    </row>
    <row r="211" spans="21:28" ht="13">
      <c r="U211" s="20"/>
      <c r="V211" s="20"/>
      <c r="AB211" s="21"/>
    </row>
    <row r="212" spans="21:28" ht="13">
      <c r="U212" s="20"/>
      <c r="V212" s="20"/>
      <c r="AB212" s="21"/>
    </row>
    <row r="213" spans="21:28" ht="13">
      <c r="U213" s="20"/>
      <c r="V213" s="20"/>
      <c r="AB213" s="21"/>
    </row>
    <row r="214" spans="21:28" ht="13">
      <c r="U214" s="20"/>
      <c r="V214" s="20"/>
      <c r="AB214" s="21"/>
    </row>
    <row r="215" spans="21:28" ht="13">
      <c r="U215" s="20"/>
      <c r="V215" s="20"/>
      <c r="AB215" s="21"/>
    </row>
    <row r="216" spans="21:28" ht="13">
      <c r="U216" s="20"/>
      <c r="V216" s="20"/>
      <c r="AB216" s="21"/>
    </row>
    <row r="217" spans="21:28" ht="13">
      <c r="U217" s="20"/>
      <c r="V217" s="20"/>
      <c r="AB217" s="21"/>
    </row>
    <row r="218" spans="21:28" ht="13">
      <c r="U218" s="20"/>
      <c r="V218" s="20"/>
      <c r="AB218" s="21"/>
    </row>
    <row r="219" spans="21:28" ht="13">
      <c r="U219" s="20"/>
      <c r="V219" s="20"/>
      <c r="AB219" s="21"/>
    </row>
    <row r="220" spans="21:28" ht="13">
      <c r="U220" s="20"/>
      <c r="V220" s="20"/>
      <c r="AB220" s="21"/>
    </row>
    <row r="221" spans="21:28" ht="13">
      <c r="U221" s="20"/>
      <c r="V221" s="20"/>
      <c r="AB221" s="21"/>
    </row>
    <row r="222" spans="21:28" ht="13">
      <c r="U222" s="20"/>
      <c r="V222" s="20"/>
      <c r="AB222" s="21"/>
    </row>
    <row r="223" spans="21:28" ht="13">
      <c r="U223" s="20"/>
      <c r="V223" s="20"/>
      <c r="AB223" s="21"/>
    </row>
    <row r="224" spans="21:28" ht="13">
      <c r="U224" s="20"/>
      <c r="V224" s="20"/>
      <c r="AB224" s="21"/>
    </row>
    <row r="225" spans="21:28" ht="13">
      <c r="U225" s="20"/>
      <c r="V225" s="20"/>
      <c r="AB225" s="21"/>
    </row>
    <row r="226" spans="21:28" ht="13">
      <c r="U226" s="20"/>
      <c r="V226" s="20"/>
      <c r="AB226" s="21"/>
    </row>
    <row r="227" spans="21:28" ht="13">
      <c r="U227" s="20"/>
      <c r="V227" s="20"/>
      <c r="AB227" s="21"/>
    </row>
    <row r="228" spans="21:28" ht="13">
      <c r="U228" s="20"/>
      <c r="V228" s="20"/>
      <c r="AB228" s="21"/>
    </row>
    <row r="229" spans="21:28" ht="13">
      <c r="U229" s="20"/>
      <c r="V229" s="20"/>
      <c r="AB229" s="21"/>
    </row>
    <row r="230" spans="21:28" ht="13">
      <c r="U230" s="20"/>
      <c r="V230" s="20"/>
      <c r="AB230" s="21"/>
    </row>
    <row r="231" spans="21:28" ht="13">
      <c r="U231" s="20"/>
      <c r="V231" s="20"/>
      <c r="AB231" s="21"/>
    </row>
    <row r="232" spans="21:28" ht="13">
      <c r="U232" s="20"/>
      <c r="V232" s="20"/>
      <c r="AB232" s="21"/>
    </row>
    <row r="233" spans="21:28" ht="13">
      <c r="U233" s="20"/>
      <c r="V233" s="20"/>
      <c r="AB233" s="21"/>
    </row>
    <row r="234" spans="21:28" ht="13">
      <c r="U234" s="20"/>
      <c r="V234" s="20"/>
      <c r="AB234" s="21"/>
    </row>
    <row r="235" spans="21:28" ht="13">
      <c r="U235" s="20"/>
      <c r="V235" s="20"/>
      <c r="AB235" s="21"/>
    </row>
    <row r="236" spans="21:28" ht="13">
      <c r="U236" s="20"/>
      <c r="V236" s="20"/>
      <c r="AB236" s="21"/>
    </row>
    <row r="237" spans="21:28" ht="13">
      <c r="U237" s="20"/>
      <c r="V237" s="20"/>
      <c r="AB237" s="21"/>
    </row>
    <row r="238" spans="21:28" ht="13">
      <c r="U238" s="20"/>
      <c r="V238" s="20"/>
      <c r="AB238" s="21"/>
    </row>
    <row r="239" spans="21:28" ht="13">
      <c r="U239" s="20"/>
      <c r="V239" s="20"/>
      <c r="AB239" s="21"/>
    </row>
    <row r="240" spans="21:28" ht="13">
      <c r="U240" s="20"/>
      <c r="V240" s="20"/>
      <c r="AB240" s="21"/>
    </row>
    <row r="241" spans="21:28" ht="13">
      <c r="U241" s="20"/>
      <c r="V241" s="20"/>
      <c r="AB241" s="21"/>
    </row>
    <row r="242" spans="21:28" ht="13">
      <c r="U242" s="20"/>
      <c r="V242" s="20"/>
      <c r="AB242" s="21"/>
    </row>
    <row r="243" spans="21:28" ht="13">
      <c r="U243" s="20"/>
      <c r="V243" s="20"/>
      <c r="AB243" s="21"/>
    </row>
    <row r="244" spans="21:28" ht="13">
      <c r="U244" s="20"/>
      <c r="V244" s="20"/>
      <c r="AB244" s="21"/>
    </row>
    <row r="245" spans="21:28" ht="13">
      <c r="U245" s="20"/>
      <c r="V245" s="20"/>
      <c r="AB245" s="21"/>
    </row>
    <row r="246" spans="21:28" ht="13">
      <c r="U246" s="20"/>
      <c r="V246" s="20"/>
      <c r="AB246" s="21"/>
    </row>
    <row r="247" spans="21:28" ht="13">
      <c r="U247" s="20"/>
      <c r="V247" s="20"/>
      <c r="AB247" s="21"/>
    </row>
    <row r="248" spans="21:28" ht="13">
      <c r="U248" s="20"/>
      <c r="V248" s="20"/>
      <c r="AB248" s="21"/>
    </row>
    <row r="249" spans="21:28" ht="13">
      <c r="U249" s="20"/>
      <c r="V249" s="20"/>
      <c r="AB249" s="21"/>
    </row>
    <row r="250" spans="21:28" ht="13">
      <c r="U250" s="20"/>
      <c r="V250" s="20"/>
      <c r="AB250" s="21"/>
    </row>
    <row r="251" spans="21:28" ht="13">
      <c r="U251" s="20"/>
      <c r="V251" s="20"/>
      <c r="AB251" s="21"/>
    </row>
    <row r="252" spans="21:28" ht="13">
      <c r="U252" s="20"/>
      <c r="V252" s="20"/>
      <c r="AB252" s="21"/>
    </row>
    <row r="253" spans="21:28" ht="13">
      <c r="U253" s="20"/>
      <c r="V253" s="20"/>
      <c r="AB253" s="21"/>
    </row>
    <row r="254" spans="21:28" ht="13">
      <c r="U254" s="20"/>
      <c r="V254" s="20"/>
      <c r="AB254" s="21"/>
    </row>
    <row r="255" spans="21:28" ht="13">
      <c r="U255" s="20"/>
      <c r="V255" s="20"/>
      <c r="AB255" s="21"/>
    </row>
    <row r="256" spans="21:28" ht="13">
      <c r="U256" s="20"/>
      <c r="V256" s="20"/>
      <c r="AB256" s="21"/>
    </row>
    <row r="257" spans="21:28" ht="13">
      <c r="U257" s="20"/>
      <c r="V257" s="20"/>
      <c r="AB257" s="21"/>
    </row>
    <row r="258" spans="21:28" ht="13">
      <c r="U258" s="20"/>
      <c r="V258" s="20"/>
      <c r="AB258" s="21"/>
    </row>
    <row r="259" spans="21:28" ht="13">
      <c r="U259" s="20"/>
      <c r="V259" s="20"/>
      <c r="AB259" s="21"/>
    </row>
    <row r="260" spans="21:28" ht="13">
      <c r="U260" s="20"/>
      <c r="V260" s="20"/>
      <c r="AB260" s="21"/>
    </row>
    <row r="261" spans="21:28" ht="13">
      <c r="U261" s="20"/>
      <c r="V261" s="20"/>
      <c r="AB261" s="21"/>
    </row>
    <row r="262" spans="21:28" ht="13">
      <c r="U262" s="20"/>
      <c r="V262" s="20"/>
      <c r="AB262" s="21"/>
    </row>
    <row r="263" spans="21:28" ht="13">
      <c r="U263" s="20"/>
      <c r="V263" s="20"/>
      <c r="AB263" s="21"/>
    </row>
    <row r="264" spans="21:28" ht="13">
      <c r="U264" s="20"/>
      <c r="V264" s="20"/>
      <c r="AB264" s="21"/>
    </row>
    <row r="265" spans="21:28" ht="13">
      <c r="U265" s="20"/>
      <c r="V265" s="20"/>
      <c r="AB265" s="21"/>
    </row>
    <row r="266" spans="21:28" ht="13">
      <c r="U266" s="20"/>
      <c r="V266" s="20"/>
      <c r="AB266" s="21"/>
    </row>
    <row r="267" spans="21:28" ht="13">
      <c r="U267" s="20"/>
      <c r="V267" s="20"/>
      <c r="AB267" s="21"/>
    </row>
    <row r="268" spans="21:28" ht="13">
      <c r="U268" s="20"/>
      <c r="V268" s="20"/>
      <c r="AB268" s="21"/>
    </row>
    <row r="269" spans="21:28" ht="13">
      <c r="U269" s="20"/>
      <c r="V269" s="20"/>
      <c r="AB269" s="21"/>
    </row>
    <row r="270" spans="21:28" ht="13">
      <c r="U270" s="20"/>
      <c r="V270" s="20"/>
      <c r="AB270" s="21"/>
    </row>
    <row r="271" spans="21:28" ht="13">
      <c r="U271" s="20"/>
      <c r="V271" s="20"/>
      <c r="AB271" s="21"/>
    </row>
    <row r="272" spans="21:28" ht="13">
      <c r="U272" s="20"/>
      <c r="V272" s="20"/>
      <c r="AB272" s="21"/>
    </row>
    <row r="273" spans="21:28" ht="13">
      <c r="U273" s="20"/>
      <c r="V273" s="20"/>
      <c r="AB273" s="21"/>
    </row>
    <row r="274" spans="21:28" ht="13">
      <c r="U274" s="20"/>
      <c r="V274" s="20"/>
      <c r="AB274" s="21"/>
    </row>
    <row r="275" spans="21:28" ht="13">
      <c r="U275" s="20"/>
      <c r="V275" s="20"/>
      <c r="AB275" s="21"/>
    </row>
    <row r="276" spans="21:28" ht="13">
      <c r="U276" s="20"/>
      <c r="V276" s="20"/>
      <c r="AB276" s="21"/>
    </row>
    <row r="277" spans="21:28" ht="13">
      <c r="U277" s="20"/>
      <c r="V277" s="20"/>
      <c r="AB277" s="21"/>
    </row>
    <row r="278" spans="21:28" ht="13">
      <c r="U278" s="20"/>
      <c r="V278" s="20"/>
      <c r="AB278" s="21"/>
    </row>
    <row r="279" spans="21:28" ht="13">
      <c r="U279" s="20"/>
      <c r="V279" s="20"/>
      <c r="AB279" s="21"/>
    </row>
    <row r="280" spans="21:28" ht="13">
      <c r="U280" s="20"/>
      <c r="V280" s="20"/>
      <c r="AB280" s="21"/>
    </row>
    <row r="281" spans="21:28" ht="13">
      <c r="U281" s="20"/>
      <c r="V281" s="20"/>
      <c r="AB281" s="21"/>
    </row>
    <row r="282" spans="21:28" ht="13">
      <c r="U282" s="20"/>
      <c r="V282" s="20"/>
      <c r="AB282" s="21"/>
    </row>
    <row r="283" spans="21:28" ht="13">
      <c r="U283" s="20"/>
      <c r="V283" s="20"/>
      <c r="AB283" s="21"/>
    </row>
    <row r="284" spans="21:28" ht="13">
      <c r="U284" s="20"/>
      <c r="V284" s="20"/>
      <c r="AB284" s="21"/>
    </row>
    <row r="285" spans="21:28" ht="13">
      <c r="U285" s="20"/>
      <c r="V285" s="20"/>
      <c r="AB285" s="21"/>
    </row>
    <row r="286" spans="21:28" ht="13">
      <c r="U286" s="20"/>
      <c r="V286" s="20"/>
      <c r="AB286" s="21"/>
    </row>
    <row r="287" spans="21:28" ht="13">
      <c r="U287" s="20"/>
      <c r="V287" s="20"/>
      <c r="AB287" s="21"/>
    </row>
    <row r="288" spans="21:28" ht="13">
      <c r="U288" s="20"/>
      <c r="V288" s="20"/>
      <c r="AB288" s="21"/>
    </row>
    <row r="289" spans="21:28" ht="13">
      <c r="U289" s="20"/>
      <c r="V289" s="20"/>
      <c r="AB289" s="21"/>
    </row>
    <row r="290" spans="21:28" ht="13">
      <c r="U290" s="20"/>
      <c r="V290" s="20"/>
      <c r="AB290" s="21"/>
    </row>
    <row r="291" spans="21:28" ht="13">
      <c r="U291" s="20"/>
      <c r="V291" s="20"/>
      <c r="AB291" s="21"/>
    </row>
    <row r="292" spans="21:28" ht="13">
      <c r="U292" s="20"/>
      <c r="V292" s="20"/>
      <c r="AB292" s="21"/>
    </row>
    <row r="293" spans="21:28" ht="13">
      <c r="U293" s="20"/>
      <c r="V293" s="20"/>
      <c r="AB293" s="21"/>
    </row>
    <row r="294" spans="21:28" ht="13">
      <c r="U294" s="20"/>
      <c r="V294" s="20"/>
      <c r="AB294" s="21"/>
    </row>
    <row r="295" spans="21:28" ht="13">
      <c r="U295" s="20"/>
      <c r="V295" s="20"/>
      <c r="AB295" s="21"/>
    </row>
    <row r="296" spans="21:28" ht="13">
      <c r="U296" s="20"/>
      <c r="V296" s="20"/>
      <c r="AB296" s="21"/>
    </row>
    <row r="297" spans="21:28" ht="13">
      <c r="U297" s="20"/>
      <c r="V297" s="20"/>
      <c r="AB297" s="21"/>
    </row>
    <row r="298" spans="21:28" ht="13">
      <c r="U298" s="20"/>
      <c r="V298" s="20"/>
      <c r="AB298" s="21"/>
    </row>
    <row r="299" spans="21:28" ht="13">
      <c r="U299" s="20"/>
      <c r="V299" s="20"/>
      <c r="AB299" s="21"/>
    </row>
    <row r="300" spans="21:28" ht="13">
      <c r="U300" s="20"/>
      <c r="V300" s="20"/>
      <c r="AB300" s="21"/>
    </row>
    <row r="301" spans="21:28" ht="13">
      <c r="U301" s="20"/>
      <c r="V301" s="20"/>
      <c r="AB301" s="21"/>
    </row>
    <row r="302" spans="21:28" ht="13">
      <c r="U302" s="20"/>
      <c r="V302" s="20"/>
      <c r="AB302" s="21"/>
    </row>
    <row r="303" spans="21:28" ht="13">
      <c r="U303" s="20"/>
      <c r="V303" s="20"/>
      <c r="AB303" s="21"/>
    </row>
    <row r="304" spans="21:28" ht="13">
      <c r="U304" s="20"/>
      <c r="V304" s="20"/>
      <c r="AB304" s="21"/>
    </row>
    <row r="305" spans="21:28" ht="13">
      <c r="U305" s="20"/>
      <c r="V305" s="20"/>
      <c r="AB305" s="21"/>
    </row>
    <row r="306" spans="21:28" ht="13">
      <c r="U306" s="20"/>
      <c r="V306" s="20"/>
      <c r="AB306" s="21"/>
    </row>
    <row r="307" spans="21:28" ht="13">
      <c r="U307" s="20"/>
      <c r="V307" s="20"/>
      <c r="AB307" s="21"/>
    </row>
    <row r="308" spans="21:28" ht="13">
      <c r="U308" s="20"/>
      <c r="V308" s="20"/>
      <c r="AB308" s="21"/>
    </row>
    <row r="309" spans="21:28" ht="13">
      <c r="U309" s="20"/>
      <c r="V309" s="20"/>
      <c r="AB309" s="21"/>
    </row>
    <row r="310" spans="21:28" ht="13">
      <c r="U310" s="20"/>
      <c r="V310" s="20"/>
      <c r="AB310" s="21"/>
    </row>
    <row r="311" spans="21:28" ht="13">
      <c r="U311" s="20"/>
      <c r="V311" s="20"/>
      <c r="AB311" s="21"/>
    </row>
    <row r="312" spans="21:28" ht="13">
      <c r="U312" s="20"/>
      <c r="V312" s="20"/>
      <c r="AB312" s="21"/>
    </row>
    <row r="313" spans="21:28" ht="13">
      <c r="U313" s="20"/>
      <c r="V313" s="20"/>
      <c r="AB313" s="21"/>
    </row>
    <row r="314" spans="21:28" ht="13">
      <c r="U314" s="20"/>
      <c r="V314" s="20"/>
      <c r="AB314" s="21"/>
    </row>
    <row r="315" spans="21:28" ht="13">
      <c r="U315" s="20"/>
      <c r="V315" s="20"/>
      <c r="AB315" s="21"/>
    </row>
    <row r="316" spans="21:28" ht="13">
      <c r="U316" s="20"/>
      <c r="V316" s="20"/>
      <c r="AB316" s="21"/>
    </row>
    <row r="317" spans="21:28" ht="13">
      <c r="U317" s="20"/>
      <c r="V317" s="20"/>
      <c r="AB317" s="21"/>
    </row>
    <row r="318" spans="21:28" ht="13">
      <c r="U318" s="20"/>
      <c r="V318" s="20"/>
      <c r="AB318" s="21"/>
    </row>
    <row r="319" spans="21:28" ht="13">
      <c r="U319" s="20"/>
      <c r="V319" s="20"/>
      <c r="AB319" s="21"/>
    </row>
    <row r="320" spans="21:28" ht="13">
      <c r="U320" s="20"/>
      <c r="V320" s="20"/>
      <c r="AB320" s="21"/>
    </row>
    <row r="321" spans="21:28" ht="13">
      <c r="U321" s="20"/>
      <c r="V321" s="20"/>
      <c r="AB321" s="21"/>
    </row>
    <row r="322" spans="21:28" ht="13">
      <c r="U322" s="20"/>
      <c r="V322" s="20"/>
      <c r="AB322" s="21"/>
    </row>
    <row r="323" spans="21:28" ht="13">
      <c r="U323" s="20"/>
      <c r="V323" s="20"/>
      <c r="AB323" s="21"/>
    </row>
    <row r="324" spans="21:28" ht="13">
      <c r="U324" s="20"/>
      <c r="V324" s="20"/>
      <c r="AB324" s="21"/>
    </row>
    <row r="325" spans="21:28" ht="13">
      <c r="U325" s="20"/>
      <c r="V325" s="20"/>
      <c r="AB325" s="21"/>
    </row>
    <row r="326" spans="21:28" ht="13">
      <c r="U326" s="20"/>
      <c r="V326" s="20"/>
      <c r="AB326" s="21"/>
    </row>
    <row r="327" spans="21:28" ht="13">
      <c r="U327" s="20"/>
      <c r="V327" s="20"/>
      <c r="AB327" s="21"/>
    </row>
    <row r="328" spans="21:28" ht="13">
      <c r="U328" s="20"/>
      <c r="V328" s="20"/>
      <c r="AB328" s="21"/>
    </row>
    <row r="329" spans="21:28" ht="13">
      <c r="U329" s="20"/>
      <c r="V329" s="20"/>
      <c r="AB329" s="21"/>
    </row>
    <row r="330" spans="21:28" ht="13">
      <c r="U330" s="20"/>
      <c r="V330" s="20"/>
      <c r="AB330" s="21"/>
    </row>
    <row r="331" spans="21:28" ht="13">
      <c r="U331" s="20"/>
      <c r="V331" s="20"/>
      <c r="AB331" s="21"/>
    </row>
    <row r="332" spans="21:28" ht="13">
      <c r="U332" s="20"/>
      <c r="V332" s="20"/>
      <c r="AB332" s="21"/>
    </row>
    <row r="333" spans="21:28" ht="13">
      <c r="U333" s="20"/>
      <c r="V333" s="20"/>
      <c r="AB333" s="21"/>
    </row>
    <row r="334" spans="21:28" ht="13">
      <c r="U334" s="20"/>
      <c r="V334" s="20"/>
      <c r="AB334" s="21"/>
    </row>
    <row r="335" spans="21:28" ht="13">
      <c r="U335" s="20"/>
      <c r="V335" s="20"/>
      <c r="AB335" s="21"/>
    </row>
    <row r="336" spans="21:28" ht="13">
      <c r="U336" s="20"/>
      <c r="V336" s="20"/>
      <c r="AB336" s="21"/>
    </row>
    <row r="337" spans="21:28" ht="13">
      <c r="U337" s="20"/>
      <c r="V337" s="20"/>
      <c r="AB337" s="21"/>
    </row>
    <row r="338" spans="21:28" ht="13">
      <c r="U338" s="20"/>
      <c r="V338" s="20"/>
      <c r="AB338" s="21"/>
    </row>
    <row r="339" spans="21:28" ht="13">
      <c r="U339" s="20"/>
      <c r="V339" s="20"/>
      <c r="AB339" s="21"/>
    </row>
    <row r="340" spans="21:28" ht="13">
      <c r="U340" s="20"/>
      <c r="V340" s="20"/>
      <c r="AB340" s="21"/>
    </row>
    <row r="341" spans="21:28" ht="13">
      <c r="U341" s="20"/>
      <c r="V341" s="20"/>
      <c r="AB341" s="21"/>
    </row>
    <row r="342" spans="21:28" ht="13">
      <c r="U342" s="20"/>
      <c r="V342" s="20"/>
      <c r="AB342" s="21"/>
    </row>
    <row r="343" spans="21:28" ht="13">
      <c r="U343" s="20"/>
      <c r="V343" s="20"/>
      <c r="AB343" s="21"/>
    </row>
    <row r="344" spans="21:28" ht="13">
      <c r="U344" s="20"/>
      <c r="V344" s="20"/>
      <c r="AB344" s="21"/>
    </row>
    <row r="345" spans="21:28" ht="13">
      <c r="U345" s="20"/>
      <c r="V345" s="20"/>
      <c r="AB345" s="21"/>
    </row>
    <row r="346" spans="21:28" ht="13">
      <c r="U346" s="20"/>
      <c r="V346" s="20"/>
      <c r="AB346" s="21"/>
    </row>
    <row r="347" spans="21:28" ht="13">
      <c r="U347" s="20"/>
      <c r="V347" s="20"/>
      <c r="AB347" s="21"/>
    </row>
    <row r="348" spans="21:28" ht="13">
      <c r="U348" s="20"/>
      <c r="V348" s="20"/>
      <c r="AB348" s="21"/>
    </row>
    <row r="349" spans="21:28" ht="13">
      <c r="U349" s="20"/>
      <c r="V349" s="20"/>
      <c r="AB349" s="21"/>
    </row>
    <row r="350" spans="21:28" ht="13">
      <c r="U350" s="20"/>
      <c r="V350" s="20"/>
      <c r="AB350" s="21"/>
    </row>
    <row r="351" spans="21:28" ht="13">
      <c r="U351" s="20"/>
      <c r="V351" s="20"/>
      <c r="AB351" s="21"/>
    </row>
    <row r="352" spans="21:28" ht="13">
      <c r="U352" s="20"/>
      <c r="V352" s="20"/>
      <c r="AB352" s="21"/>
    </row>
    <row r="353" spans="21:28" ht="13">
      <c r="U353" s="20"/>
      <c r="V353" s="20"/>
      <c r="AB353" s="21"/>
    </row>
    <row r="354" spans="21:28" ht="13">
      <c r="U354" s="20"/>
      <c r="V354" s="20"/>
      <c r="AB354" s="21"/>
    </row>
    <row r="355" spans="21:28" ht="13">
      <c r="U355" s="20"/>
      <c r="V355" s="20"/>
      <c r="AB355" s="21"/>
    </row>
    <row r="356" spans="21:28" ht="13">
      <c r="U356" s="20"/>
      <c r="V356" s="20"/>
      <c r="AB356" s="21"/>
    </row>
    <row r="357" spans="21:28" ht="13">
      <c r="U357" s="20"/>
      <c r="V357" s="20"/>
      <c r="AB357" s="21"/>
    </row>
    <row r="358" spans="21:28" ht="13">
      <c r="U358" s="20"/>
      <c r="V358" s="20"/>
      <c r="AB358" s="21"/>
    </row>
    <row r="359" spans="21:28" ht="13">
      <c r="U359" s="20"/>
      <c r="V359" s="20"/>
      <c r="AB359" s="21"/>
    </row>
    <row r="360" spans="21:28" ht="13">
      <c r="U360" s="20"/>
      <c r="V360" s="20"/>
      <c r="AB360" s="21"/>
    </row>
    <row r="361" spans="21:28" ht="13">
      <c r="U361" s="20"/>
      <c r="V361" s="20"/>
      <c r="AB361" s="21"/>
    </row>
    <row r="362" spans="21:28" ht="13">
      <c r="U362" s="20"/>
      <c r="V362" s="20"/>
      <c r="AB362" s="21"/>
    </row>
    <row r="363" spans="21:28" ht="13">
      <c r="U363" s="20"/>
      <c r="V363" s="20"/>
      <c r="AB363" s="21"/>
    </row>
    <row r="364" spans="21:28" ht="13">
      <c r="U364" s="20"/>
      <c r="V364" s="20"/>
      <c r="AB364" s="21"/>
    </row>
    <row r="365" spans="21:28" ht="13">
      <c r="U365" s="20"/>
      <c r="V365" s="20"/>
      <c r="AB365" s="21"/>
    </row>
    <row r="366" spans="21:28" ht="13">
      <c r="U366" s="20"/>
      <c r="V366" s="20"/>
      <c r="AB366" s="21"/>
    </row>
    <row r="367" spans="21:28" ht="13">
      <c r="U367" s="20"/>
      <c r="V367" s="20"/>
      <c r="AB367" s="21"/>
    </row>
    <row r="368" spans="21:28" ht="13">
      <c r="U368" s="20"/>
      <c r="V368" s="20"/>
      <c r="AB368" s="21"/>
    </row>
    <row r="369" spans="21:28" ht="13">
      <c r="U369" s="20"/>
      <c r="V369" s="20"/>
      <c r="AB369" s="21"/>
    </row>
    <row r="370" spans="21:28" ht="13">
      <c r="U370" s="20"/>
      <c r="V370" s="20"/>
      <c r="AB370" s="21"/>
    </row>
    <row r="371" spans="21:28" ht="13">
      <c r="U371" s="20"/>
      <c r="V371" s="20"/>
      <c r="AB371" s="21"/>
    </row>
    <row r="372" spans="21:28" ht="13">
      <c r="U372" s="20"/>
      <c r="V372" s="20"/>
      <c r="AB372" s="21"/>
    </row>
    <row r="373" spans="21:28" ht="13">
      <c r="U373" s="20"/>
      <c r="V373" s="20"/>
      <c r="AB373" s="21"/>
    </row>
    <row r="374" spans="21:28" ht="13">
      <c r="U374" s="20"/>
      <c r="V374" s="20"/>
      <c r="AB374" s="21"/>
    </row>
    <row r="375" spans="21:28" ht="13">
      <c r="U375" s="20"/>
      <c r="V375" s="20"/>
      <c r="AB375" s="21"/>
    </row>
    <row r="376" spans="21:28" ht="13">
      <c r="U376" s="20"/>
      <c r="V376" s="20"/>
      <c r="AB376" s="21"/>
    </row>
    <row r="377" spans="21:28" ht="13">
      <c r="U377" s="20"/>
      <c r="V377" s="20"/>
      <c r="AB377" s="21"/>
    </row>
    <row r="378" spans="21:28" ht="13">
      <c r="U378" s="20"/>
      <c r="V378" s="20"/>
      <c r="AB378" s="21"/>
    </row>
    <row r="379" spans="21:28" ht="13">
      <c r="U379" s="20"/>
      <c r="V379" s="20"/>
      <c r="AB379" s="21"/>
    </row>
    <row r="380" spans="21:28" ht="13">
      <c r="U380" s="20"/>
      <c r="V380" s="20"/>
      <c r="AB380" s="21"/>
    </row>
    <row r="381" spans="21:28" ht="13">
      <c r="U381" s="20"/>
      <c r="V381" s="20"/>
      <c r="AB381" s="21"/>
    </row>
    <row r="382" spans="21:28" ht="13">
      <c r="U382" s="20"/>
      <c r="V382" s="20"/>
      <c r="AB382" s="21"/>
    </row>
    <row r="383" spans="21:28" ht="13">
      <c r="U383" s="20"/>
      <c r="V383" s="20"/>
      <c r="AB383" s="21"/>
    </row>
    <row r="384" spans="21:28" ht="13">
      <c r="U384" s="20"/>
      <c r="V384" s="20"/>
      <c r="AB384" s="21"/>
    </row>
    <row r="385" spans="21:28" ht="13">
      <c r="U385" s="20"/>
      <c r="V385" s="20"/>
      <c r="AB385" s="21"/>
    </row>
    <row r="386" spans="21:28" ht="13">
      <c r="U386" s="20"/>
      <c r="V386" s="20"/>
      <c r="AB386" s="21"/>
    </row>
    <row r="387" spans="21:28" ht="13">
      <c r="U387" s="20"/>
      <c r="V387" s="20"/>
      <c r="AB387" s="21"/>
    </row>
    <row r="388" spans="21:28" ht="13">
      <c r="U388" s="20"/>
      <c r="V388" s="20"/>
      <c r="AB388" s="21"/>
    </row>
    <row r="389" spans="21:28" ht="13">
      <c r="U389" s="20"/>
      <c r="V389" s="20"/>
      <c r="AB389" s="21"/>
    </row>
    <row r="390" spans="21:28" ht="13">
      <c r="U390" s="20"/>
      <c r="V390" s="20"/>
      <c r="AB390" s="21"/>
    </row>
    <row r="391" spans="21:28" ht="13">
      <c r="U391" s="20"/>
      <c r="V391" s="20"/>
      <c r="AB391" s="21"/>
    </row>
    <row r="392" spans="21:28" ht="13">
      <c r="U392" s="20"/>
      <c r="V392" s="20"/>
      <c r="AB392" s="21"/>
    </row>
    <row r="393" spans="21:28" ht="13">
      <c r="U393" s="20"/>
      <c r="V393" s="20"/>
      <c r="AB393" s="21"/>
    </row>
    <row r="394" spans="21:28" ht="13">
      <c r="U394" s="20"/>
      <c r="V394" s="20"/>
      <c r="AB394" s="21"/>
    </row>
    <row r="395" spans="21:28" ht="13">
      <c r="U395" s="20"/>
      <c r="V395" s="20"/>
      <c r="AB395" s="21"/>
    </row>
    <row r="396" spans="21:28" ht="13">
      <c r="U396" s="20"/>
      <c r="V396" s="20"/>
      <c r="AB396" s="21"/>
    </row>
    <row r="397" spans="21:28" ht="13">
      <c r="U397" s="20"/>
      <c r="V397" s="20"/>
      <c r="AB397" s="21"/>
    </row>
    <row r="398" spans="21:28" ht="13">
      <c r="U398" s="20"/>
      <c r="V398" s="20"/>
      <c r="AB398" s="21"/>
    </row>
    <row r="399" spans="21:28" ht="13">
      <c r="U399" s="20"/>
      <c r="V399" s="20"/>
      <c r="AB399" s="21"/>
    </row>
    <row r="400" spans="21:28" ht="13">
      <c r="U400" s="20"/>
      <c r="V400" s="20"/>
      <c r="AB400" s="21"/>
    </row>
    <row r="401" spans="21:28" ht="13">
      <c r="U401" s="20"/>
      <c r="V401" s="20"/>
      <c r="AB401" s="21"/>
    </row>
    <row r="402" spans="21:28" ht="13">
      <c r="U402" s="20"/>
      <c r="V402" s="20"/>
      <c r="AB402" s="21"/>
    </row>
    <row r="403" spans="21:28" ht="13">
      <c r="U403" s="20"/>
      <c r="V403" s="20"/>
      <c r="AB403" s="21"/>
    </row>
    <row r="404" spans="21:28" ht="13">
      <c r="U404" s="20"/>
      <c r="V404" s="20"/>
      <c r="AB404" s="21"/>
    </row>
    <row r="405" spans="21:28" ht="13">
      <c r="U405" s="20"/>
      <c r="V405" s="20"/>
      <c r="AB405" s="21"/>
    </row>
    <row r="406" spans="21:28" ht="13">
      <c r="U406" s="20"/>
      <c r="V406" s="20"/>
      <c r="AB406" s="21"/>
    </row>
    <row r="407" spans="21:28" ht="13">
      <c r="U407" s="20"/>
      <c r="V407" s="20"/>
      <c r="AB407" s="21"/>
    </row>
    <row r="408" spans="21:28" ht="13">
      <c r="U408" s="20"/>
      <c r="V408" s="20"/>
      <c r="AB408" s="21"/>
    </row>
    <row r="409" spans="21:28" ht="13">
      <c r="U409" s="20"/>
      <c r="V409" s="20"/>
      <c r="AB409" s="21"/>
    </row>
    <row r="410" spans="21:28" ht="13">
      <c r="U410" s="20"/>
      <c r="V410" s="20"/>
      <c r="AB410" s="21"/>
    </row>
    <row r="411" spans="21:28" ht="13">
      <c r="U411" s="20"/>
      <c r="V411" s="20"/>
      <c r="AB411" s="21"/>
    </row>
    <row r="412" spans="21:28" ht="13">
      <c r="U412" s="20"/>
      <c r="V412" s="20"/>
      <c r="AB412" s="21"/>
    </row>
    <row r="413" spans="21:28" ht="13">
      <c r="U413" s="20"/>
      <c r="V413" s="20"/>
      <c r="AB413" s="21"/>
    </row>
    <row r="414" spans="21:28" ht="13">
      <c r="U414" s="20"/>
      <c r="V414" s="20"/>
      <c r="AB414" s="21"/>
    </row>
    <row r="415" spans="21:28" ht="13">
      <c r="U415" s="20"/>
      <c r="V415" s="20"/>
      <c r="AB415" s="21"/>
    </row>
    <row r="416" spans="21:28" ht="13">
      <c r="U416" s="20"/>
      <c r="V416" s="20"/>
      <c r="AB416" s="21"/>
    </row>
    <row r="417" spans="21:28" ht="13">
      <c r="U417" s="20"/>
      <c r="V417" s="20"/>
      <c r="AB417" s="21"/>
    </row>
    <row r="418" spans="21:28" ht="13">
      <c r="U418" s="20"/>
      <c r="V418" s="20"/>
      <c r="AB418" s="21"/>
    </row>
    <row r="419" spans="21:28" ht="13">
      <c r="U419" s="20"/>
      <c r="V419" s="20"/>
      <c r="AB419" s="21"/>
    </row>
    <row r="420" spans="21:28" ht="13">
      <c r="U420" s="20"/>
      <c r="V420" s="20"/>
      <c r="AB420" s="21"/>
    </row>
    <row r="421" spans="21:28" ht="13">
      <c r="U421" s="20"/>
      <c r="V421" s="20"/>
      <c r="AB421" s="21"/>
    </row>
    <row r="422" spans="21:28" ht="13">
      <c r="U422" s="20"/>
      <c r="V422" s="20"/>
      <c r="AB422" s="21"/>
    </row>
    <row r="423" spans="21:28" ht="13">
      <c r="U423" s="20"/>
      <c r="V423" s="20"/>
      <c r="AB423" s="21"/>
    </row>
    <row r="424" spans="21:28" ht="13">
      <c r="U424" s="20"/>
      <c r="V424" s="20"/>
      <c r="AB424" s="21"/>
    </row>
    <row r="425" spans="21:28" ht="13">
      <c r="U425" s="20"/>
      <c r="V425" s="20"/>
      <c r="AB425" s="21"/>
    </row>
    <row r="426" spans="21:28" ht="13">
      <c r="U426" s="20"/>
      <c r="V426" s="20"/>
      <c r="AB426" s="21"/>
    </row>
    <row r="427" spans="21:28" ht="13">
      <c r="U427" s="20"/>
      <c r="V427" s="20"/>
      <c r="AB427" s="21"/>
    </row>
    <row r="428" spans="21:28" ht="13">
      <c r="U428" s="20"/>
      <c r="V428" s="20"/>
      <c r="AB428" s="21"/>
    </row>
    <row r="429" spans="21:28" ht="13">
      <c r="U429" s="20"/>
      <c r="V429" s="20"/>
      <c r="AB429" s="21"/>
    </row>
    <row r="430" spans="21:28" ht="13">
      <c r="U430" s="20"/>
      <c r="V430" s="20"/>
      <c r="AB430" s="21"/>
    </row>
    <row r="431" spans="21:28" ht="13">
      <c r="U431" s="20"/>
      <c r="V431" s="20"/>
      <c r="AB431" s="21"/>
    </row>
    <row r="432" spans="21:28" ht="13">
      <c r="U432" s="20"/>
      <c r="V432" s="20"/>
      <c r="AB432" s="21"/>
    </row>
    <row r="433" spans="21:28" ht="13">
      <c r="U433" s="20"/>
      <c r="V433" s="20"/>
      <c r="AB433" s="21"/>
    </row>
    <row r="434" spans="21:28" ht="13">
      <c r="U434" s="20"/>
      <c r="V434" s="20"/>
      <c r="AB434" s="21"/>
    </row>
    <row r="435" spans="21:28" ht="13">
      <c r="U435" s="20"/>
      <c r="V435" s="20"/>
      <c r="AB435" s="21"/>
    </row>
    <row r="436" spans="21:28" ht="13">
      <c r="U436" s="20"/>
      <c r="V436" s="20"/>
      <c r="AB436" s="21"/>
    </row>
    <row r="437" spans="21:28" ht="13">
      <c r="U437" s="20"/>
      <c r="V437" s="20"/>
      <c r="AB437" s="21"/>
    </row>
    <row r="438" spans="21:28" ht="13">
      <c r="U438" s="20"/>
      <c r="V438" s="20"/>
      <c r="AB438" s="21"/>
    </row>
    <row r="439" spans="21:28" ht="13">
      <c r="U439" s="20"/>
      <c r="V439" s="20"/>
      <c r="AB439" s="21"/>
    </row>
    <row r="440" spans="21:28" ht="13">
      <c r="U440" s="20"/>
      <c r="V440" s="20"/>
      <c r="AB440" s="21"/>
    </row>
    <row r="441" spans="21:28" ht="13">
      <c r="U441" s="20"/>
      <c r="V441" s="20"/>
      <c r="AB441" s="21"/>
    </row>
    <row r="442" spans="21:28" ht="13">
      <c r="U442" s="20"/>
      <c r="V442" s="20"/>
      <c r="AB442" s="21"/>
    </row>
    <row r="443" spans="21:28" ht="13">
      <c r="U443" s="20"/>
      <c r="V443" s="20"/>
      <c r="AB443" s="21"/>
    </row>
    <row r="444" spans="21:28" ht="13">
      <c r="U444" s="20"/>
      <c r="V444" s="20"/>
      <c r="AB444" s="21"/>
    </row>
    <row r="445" spans="21:28" ht="13">
      <c r="U445" s="20"/>
      <c r="V445" s="20"/>
      <c r="AB445" s="21"/>
    </row>
    <row r="446" spans="21:28" ht="13">
      <c r="U446" s="20"/>
      <c r="V446" s="20"/>
      <c r="AB446" s="21"/>
    </row>
    <row r="447" spans="21:28" ht="13">
      <c r="U447" s="20"/>
      <c r="V447" s="20"/>
      <c r="AB447" s="21"/>
    </row>
    <row r="448" spans="21:28" ht="13">
      <c r="U448" s="20"/>
      <c r="V448" s="20"/>
      <c r="AB448" s="21"/>
    </row>
    <row r="449" spans="21:28" ht="13">
      <c r="U449" s="20"/>
      <c r="V449" s="20"/>
      <c r="AB449" s="21"/>
    </row>
    <row r="450" spans="21:28" ht="13">
      <c r="U450" s="20"/>
      <c r="V450" s="20"/>
      <c r="AB450" s="21"/>
    </row>
    <row r="451" spans="21:28" ht="13">
      <c r="U451" s="20"/>
      <c r="V451" s="20"/>
      <c r="AB451" s="21"/>
    </row>
    <row r="452" spans="21:28" ht="13">
      <c r="U452" s="20"/>
      <c r="V452" s="20"/>
      <c r="AB452" s="21"/>
    </row>
    <row r="453" spans="21:28" ht="13">
      <c r="U453" s="20"/>
      <c r="V453" s="20"/>
      <c r="AB453" s="21"/>
    </row>
    <row r="454" spans="21:28" ht="13">
      <c r="U454" s="20"/>
      <c r="V454" s="20"/>
      <c r="AB454" s="21"/>
    </row>
    <row r="455" spans="21:28" ht="13">
      <c r="U455" s="20"/>
      <c r="V455" s="20"/>
      <c r="AB455" s="21"/>
    </row>
    <row r="456" spans="21:28" ht="13">
      <c r="U456" s="20"/>
      <c r="V456" s="20"/>
      <c r="AB456" s="21"/>
    </row>
    <row r="457" spans="21:28" ht="13">
      <c r="U457" s="20"/>
      <c r="V457" s="20"/>
      <c r="AB457" s="21"/>
    </row>
    <row r="458" spans="21:28" ht="13">
      <c r="U458" s="20"/>
      <c r="V458" s="20"/>
      <c r="AB458" s="21"/>
    </row>
    <row r="459" spans="21:28" ht="13">
      <c r="U459" s="20"/>
      <c r="V459" s="20"/>
      <c r="AB459" s="21"/>
    </row>
    <row r="460" spans="21:28" ht="13">
      <c r="U460" s="20"/>
      <c r="V460" s="20"/>
      <c r="AB460" s="21"/>
    </row>
    <row r="461" spans="21:28" ht="13">
      <c r="U461" s="20"/>
      <c r="V461" s="20"/>
      <c r="AB461" s="21"/>
    </row>
    <row r="462" spans="21:28" ht="13">
      <c r="U462" s="20"/>
      <c r="V462" s="20"/>
      <c r="AB462" s="21"/>
    </row>
    <row r="463" spans="21:28" ht="13">
      <c r="U463" s="20"/>
      <c r="V463" s="20"/>
      <c r="AB463" s="21"/>
    </row>
    <row r="464" spans="21:28" ht="13">
      <c r="U464" s="20"/>
      <c r="V464" s="20"/>
      <c r="AB464" s="21"/>
    </row>
    <row r="465" spans="21:28" ht="13">
      <c r="U465" s="20"/>
      <c r="V465" s="20"/>
      <c r="AB465" s="21"/>
    </row>
    <row r="466" spans="21:28" ht="13">
      <c r="U466" s="20"/>
      <c r="V466" s="20"/>
      <c r="AB466" s="21"/>
    </row>
    <row r="467" spans="21:28" ht="13">
      <c r="U467" s="20"/>
      <c r="V467" s="20"/>
      <c r="AB467" s="21"/>
    </row>
    <row r="468" spans="21:28" ht="13">
      <c r="U468" s="20"/>
      <c r="V468" s="20"/>
      <c r="AB468" s="21"/>
    </row>
    <row r="469" spans="21:28" ht="13">
      <c r="U469" s="20"/>
      <c r="V469" s="20"/>
      <c r="AB469" s="21"/>
    </row>
    <row r="470" spans="21:28" ht="13">
      <c r="U470" s="20"/>
      <c r="V470" s="20"/>
      <c r="AB470" s="21"/>
    </row>
    <row r="471" spans="21:28" ht="13">
      <c r="U471" s="20"/>
      <c r="V471" s="20"/>
      <c r="AB471" s="21"/>
    </row>
    <row r="472" spans="21:28" ht="13">
      <c r="U472" s="20"/>
      <c r="V472" s="20"/>
      <c r="AB472" s="21"/>
    </row>
    <row r="473" spans="21:28" ht="13">
      <c r="U473" s="20"/>
      <c r="V473" s="20"/>
      <c r="AB473" s="21"/>
    </row>
    <row r="474" spans="21:28" ht="13">
      <c r="U474" s="20"/>
      <c r="V474" s="20"/>
      <c r="AB474" s="21"/>
    </row>
    <row r="475" spans="21:28" ht="13">
      <c r="U475" s="20"/>
      <c r="V475" s="20"/>
      <c r="AB475" s="21"/>
    </row>
    <row r="476" spans="21:28" ht="13">
      <c r="U476" s="20"/>
      <c r="V476" s="20"/>
      <c r="AB476" s="21"/>
    </row>
    <row r="477" spans="21:28" ht="13">
      <c r="U477" s="20"/>
      <c r="V477" s="20"/>
      <c r="AB477" s="21"/>
    </row>
    <row r="478" spans="21:28" ht="13">
      <c r="U478" s="20"/>
      <c r="V478" s="20"/>
      <c r="AB478" s="21"/>
    </row>
    <row r="479" spans="21:28" ht="13">
      <c r="U479" s="20"/>
      <c r="V479" s="20"/>
      <c r="AB479" s="21"/>
    </row>
    <row r="480" spans="21:28" ht="13">
      <c r="U480" s="20"/>
      <c r="V480" s="20"/>
      <c r="AB480" s="21"/>
    </row>
    <row r="481" spans="21:28" ht="13">
      <c r="U481" s="20"/>
      <c r="V481" s="20"/>
      <c r="AB481" s="21"/>
    </row>
    <row r="482" spans="21:28" ht="13">
      <c r="U482" s="20"/>
      <c r="V482" s="20"/>
      <c r="AB482" s="21"/>
    </row>
    <row r="483" spans="21:28" ht="13">
      <c r="U483" s="20"/>
      <c r="V483" s="20"/>
      <c r="AB483" s="21"/>
    </row>
    <row r="484" spans="21:28" ht="13">
      <c r="U484" s="20"/>
      <c r="V484" s="20"/>
      <c r="AB484" s="21"/>
    </row>
    <row r="485" spans="21:28" ht="13">
      <c r="U485" s="20"/>
      <c r="V485" s="20"/>
      <c r="AB485" s="21"/>
    </row>
    <row r="486" spans="21:28" ht="13">
      <c r="U486" s="20"/>
      <c r="V486" s="20"/>
      <c r="AB486" s="21"/>
    </row>
    <row r="487" spans="21:28" ht="13">
      <c r="U487" s="20"/>
      <c r="V487" s="20"/>
      <c r="AB487" s="21"/>
    </row>
    <row r="488" spans="21:28" ht="13">
      <c r="U488" s="20"/>
      <c r="V488" s="20"/>
      <c r="AB488" s="21"/>
    </row>
    <row r="489" spans="21:28" ht="13">
      <c r="U489" s="20"/>
      <c r="V489" s="20"/>
      <c r="AB489" s="21"/>
    </row>
    <row r="490" spans="21:28" ht="13">
      <c r="U490" s="20"/>
      <c r="V490" s="20"/>
      <c r="AB490" s="21"/>
    </row>
    <row r="491" spans="21:28" ht="13">
      <c r="U491" s="20"/>
      <c r="V491" s="20"/>
      <c r="AB491" s="21"/>
    </row>
    <row r="492" spans="21:28" ht="13">
      <c r="U492" s="20"/>
      <c r="V492" s="20"/>
      <c r="AB492" s="21"/>
    </row>
    <row r="493" spans="21:28" ht="13">
      <c r="U493" s="20"/>
      <c r="V493" s="20"/>
      <c r="AB493" s="21"/>
    </row>
    <row r="494" spans="21:28" ht="13">
      <c r="U494" s="20"/>
      <c r="V494" s="20"/>
      <c r="AB494" s="21"/>
    </row>
    <row r="495" spans="21:28" ht="13">
      <c r="U495" s="20"/>
      <c r="V495" s="20"/>
      <c r="AB495" s="21"/>
    </row>
    <row r="496" spans="21:28" ht="13">
      <c r="U496" s="20"/>
      <c r="V496" s="20"/>
      <c r="AB496" s="21"/>
    </row>
    <row r="497" spans="21:28" ht="13">
      <c r="U497" s="20"/>
      <c r="V497" s="20"/>
      <c r="AB497" s="21"/>
    </row>
    <row r="498" spans="21:28" ht="13">
      <c r="U498" s="20"/>
      <c r="V498" s="20"/>
      <c r="AB498" s="21"/>
    </row>
    <row r="499" spans="21:28" ht="13">
      <c r="U499" s="20"/>
      <c r="V499" s="20"/>
      <c r="AB499" s="21"/>
    </row>
    <row r="500" spans="21:28" ht="13">
      <c r="U500" s="20"/>
      <c r="V500" s="20"/>
      <c r="AB500" s="21"/>
    </row>
    <row r="501" spans="21:28" ht="13">
      <c r="U501" s="20"/>
      <c r="V501" s="20"/>
      <c r="AB501" s="21"/>
    </row>
    <row r="502" spans="21:28" ht="13">
      <c r="U502" s="20"/>
      <c r="V502" s="20"/>
      <c r="AB502" s="21"/>
    </row>
    <row r="503" spans="21:28" ht="13">
      <c r="U503" s="20"/>
      <c r="V503" s="20"/>
      <c r="AB503" s="21"/>
    </row>
    <row r="504" spans="21:28" ht="13">
      <c r="U504" s="20"/>
      <c r="V504" s="20"/>
      <c r="AB504" s="21"/>
    </row>
    <row r="505" spans="21:28" ht="13">
      <c r="U505" s="20"/>
      <c r="V505" s="20"/>
      <c r="AB505" s="21"/>
    </row>
    <row r="506" spans="21:28" ht="13">
      <c r="U506" s="20"/>
      <c r="V506" s="20"/>
      <c r="AB506" s="21"/>
    </row>
    <row r="507" spans="21:28" ht="13">
      <c r="U507" s="20"/>
      <c r="V507" s="20"/>
      <c r="AB507" s="21"/>
    </row>
    <row r="508" spans="21:28" ht="13">
      <c r="U508" s="20"/>
      <c r="V508" s="20"/>
      <c r="AB508" s="21"/>
    </row>
    <row r="509" spans="21:28" ht="13">
      <c r="U509" s="20"/>
      <c r="V509" s="20"/>
      <c r="AB509" s="21"/>
    </row>
    <row r="510" spans="21:28" ht="13">
      <c r="U510" s="20"/>
      <c r="V510" s="20"/>
      <c r="AB510" s="21"/>
    </row>
    <row r="511" spans="21:28" ht="13">
      <c r="U511" s="20"/>
      <c r="V511" s="20"/>
      <c r="AB511" s="21"/>
    </row>
    <row r="512" spans="21:28" ht="13">
      <c r="U512" s="20"/>
      <c r="V512" s="20"/>
      <c r="AB512" s="21"/>
    </row>
    <row r="513" spans="21:28" ht="13">
      <c r="U513" s="20"/>
      <c r="V513" s="20"/>
      <c r="AB513" s="21"/>
    </row>
    <row r="514" spans="21:28" ht="13">
      <c r="U514" s="20"/>
      <c r="V514" s="20"/>
      <c r="AB514" s="21"/>
    </row>
    <row r="515" spans="21:28" ht="13">
      <c r="U515" s="20"/>
      <c r="V515" s="20"/>
      <c r="AB515" s="21"/>
    </row>
    <row r="516" spans="21:28" ht="13">
      <c r="U516" s="20"/>
      <c r="V516" s="20"/>
      <c r="AB516" s="21"/>
    </row>
    <row r="517" spans="21:28" ht="13">
      <c r="U517" s="20"/>
      <c r="V517" s="20"/>
      <c r="AB517" s="21"/>
    </row>
    <row r="518" spans="21:28" ht="13">
      <c r="U518" s="20"/>
      <c r="V518" s="20"/>
      <c r="AB518" s="21"/>
    </row>
    <row r="519" spans="21:28" ht="13">
      <c r="U519" s="20"/>
      <c r="V519" s="20"/>
      <c r="AB519" s="21"/>
    </row>
    <row r="520" spans="21:28" ht="13">
      <c r="U520" s="20"/>
      <c r="V520" s="20"/>
      <c r="AB520" s="21"/>
    </row>
    <row r="521" spans="21:28" ht="13">
      <c r="U521" s="20"/>
      <c r="V521" s="20"/>
      <c r="AB521" s="21"/>
    </row>
    <row r="522" spans="21:28" ht="13">
      <c r="U522" s="20"/>
      <c r="V522" s="20"/>
      <c r="AB522" s="21"/>
    </row>
    <row r="523" spans="21:28" ht="13">
      <c r="U523" s="20"/>
      <c r="V523" s="20"/>
      <c r="AB523" s="21"/>
    </row>
    <row r="524" spans="21:28" ht="13">
      <c r="U524" s="20"/>
      <c r="V524" s="20"/>
      <c r="AB524" s="21"/>
    </row>
    <row r="525" spans="21:28" ht="13">
      <c r="U525" s="20"/>
      <c r="V525" s="20"/>
      <c r="AB525" s="21"/>
    </row>
    <row r="526" spans="21:28" ht="13">
      <c r="U526" s="20"/>
      <c r="V526" s="20"/>
      <c r="AB526" s="21"/>
    </row>
    <row r="527" spans="21:28" ht="13">
      <c r="U527" s="20"/>
      <c r="V527" s="20"/>
      <c r="AB527" s="21"/>
    </row>
    <row r="528" spans="21:28" ht="13">
      <c r="U528" s="20"/>
      <c r="V528" s="20"/>
      <c r="AB528" s="21"/>
    </row>
    <row r="529" spans="21:28" ht="13">
      <c r="U529" s="20"/>
      <c r="V529" s="20"/>
      <c r="AB529" s="21"/>
    </row>
    <row r="530" spans="21:28" ht="13">
      <c r="U530" s="20"/>
      <c r="V530" s="20"/>
      <c r="AB530" s="21"/>
    </row>
    <row r="531" spans="21:28" ht="13">
      <c r="U531" s="20"/>
      <c r="V531" s="20"/>
      <c r="AB531" s="21"/>
    </row>
    <row r="532" spans="21:28" ht="13">
      <c r="U532" s="20"/>
      <c r="V532" s="20"/>
      <c r="AB532" s="21"/>
    </row>
    <row r="533" spans="21:28" ht="13">
      <c r="U533" s="20"/>
      <c r="V533" s="20"/>
      <c r="AB533" s="21"/>
    </row>
    <row r="534" spans="21:28" ht="13">
      <c r="U534" s="20"/>
      <c r="V534" s="20"/>
      <c r="AB534" s="21"/>
    </row>
    <row r="535" spans="21:28" ht="13">
      <c r="U535" s="20"/>
      <c r="V535" s="20"/>
      <c r="AB535" s="21"/>
    </row>
    <row r="536" spans="21:28" ht="13">
      <c r="U536" s="20"/>
      <c r="V536" s="20"/>
      <c r="AB536" s="21"/>
    </row>
    <row r="537" spans="21:28" ht="13">
      <c r="U537" s="20"/>
      <c r="V537" s="20"/>
      <c r="AB537" s="21"/>
    </row>
    <row r="538" spans="21:28" ht="13">
      <c r="U538" s="20"/>
      <c r="V538" s="20"/>
      <c r="AB538" s="21"/>
    </row>
    <row r="539" spans="21:28" ht="13">
      <c r="U539" s="20"/>
      <c r="V539" s="20"/>
      <c r="AB539" s="21"/>
    </row>
    <row r="540" spans="21:28" ht="13">
      <c r="U540" s="20"/>
      <c r="V540" s="20"/>
      <c r="AB540" s="21"/>
    </row>
    <row r="541" spans="21:28" ht="13">
      <c r="U541" s="20"/>
      <c r="V541" s="20"/>
      <c r="AB541" s="21"/>
    </row>
    <row r="542" spans="21:28" ht="13">
      <c r="U542" s="20"/>
      <c r="V542" s="20"/>
      <c r="AB542" s="21"/>
    </row>
    <row r="543" spans="21:28" ht="13">
      <c r="U543" s="20"/>
      <c r="V543" s="20"/>
      <c r="AB543" s="21"/>
    </row>
    <row r="544" spans="21:28" ht="13">
      <c r="U544" s="20"/>
      <c r="V544" s="20"/>
      <c r="AB544" s="21"/>
    </row>
    <row r="545" spans="21:28" ht="13">
      <c r="U545" s="20"/>
      <c r="V545" s="20"/>
      <c r="AB545" s="21"/>
    </row>
    <row r="546" spans="21:28" ht="13">
      <c r="U546" s="20"/>
      <c r="V546" s="20"/>
      <c r="AB546" s="21"/>
    </row>
    <row r="547" spans="21:28" ht="13">
      <c r="U547" s="20"/>
      <c r="V547" s="20"/>
      <c r="AB547" s="21"/>
    </row>
    <row r="548" spans="21:28" ht="13">
      <c r="U548" s="20"/>
      <c r="V548" s="20"/>
      <c r="AB548" s="21"/>
    </row>
    <row r="549" spans="21:28" ht="13">
      <c r="U549" s="20"/>
      <c r="V549" s="20"/>
      <c r="AB549" s="21"/>
    </row>
    <row r="550" spans="21:28" ht="13">
      <c r="U550" s="20"/>
      <c r="V550" s="20"/>
      <c r="AB550" s="21"/>
    </row>
    <row r="551" spans="21:28" ht="13">
      <c r="U551" s="20"/>
      <c r="V551" s="20"/>
      <c r="AB551" s="21"/>
    </row>
    <row r="552" spans="21:28" ht="13">
      <c r="U552" s="20"/>
      <c r="V552" s="20"/>
      <c r="AB552" s="21"/>
    </row>
    <row r="553" spans="21:28" ht="13">
      <c r="U553" s="20"/>
      <c r="V553" s="20"/>
      <c r="AB553" s="21"/>
    </row>
    <row r="554" spans="21:28" ht="13">
      <c r="U554" s="20"/>
      <c r="V554" s="20"/>
      <c r="AB554" s="21"/>
    </row>
    <row r="555" spans="21:28" ht="13">
      <c r="U555" s="20"/>
      <c r="V555" s="20"/>
      <c r="AB555" s="21"/>
    </row>
    <row r="556" spans="21:28" ht="13">
      <c r="U556" s="20"/>
      <c r="V556" s="20"/>
      <c r="AB556" s="21"/>
    </row>
    <row r="557" spans="21:28" ht="13">
      <c r="U557" s="20"/>
      <c r="V557" s="20"/>
      <c r="AB557" s="21"/>
    </row>
    <row r="558" spans="21:28" ht="13">
      <c r="U558" s="20"/>
      <c r="V558" s="20"/>
      <c r="AB558" s="21"/>
    </row>
    <row r="559" spans="21:28" ht="13">
      <c r="U559" s="20"/>
      <c r="V559" s="20"/>
      <c r="AB559" s="21"/>
    </row>
    <row r="560" spans="21:28" ht="13">
      <c r="U560" s="20"/>
      <c r="V560" s="20"/>
      <c r="AB560" s="21"/>
    </row>
    <row r="561" spans="21:28" ht="13">
      <c r="U561" s="20"/>
      <c r="V561" s="20"/>
      <c r="AB561" s="21"/>
    </row>
    <row r="562" spans="21:28" ht="13">
      <c r="U562" s="20"/>
      <c r="V562" s="20"/>
      <c r="AB562" s="21"/>
    </row>
    <row r="563" spans="21:28" ht="13">
      <c r="U563" s="20"/>
      <c r="V563" s="20"/>
      <c r="AB563" s="21"/>
    </row>
    <row r="564" spans="21:28" ht="13">
      <c r="U564" s="20"/>
      <c r="V564" s="20"/>
      <c r="AB564" s="21"/>
    </row>
    <row r="565" spans="21:28" ht="13">
      <c r="U565" s="20"/>
      <c r="V565" s="20"/>
      <c r="AB565" s="21"/>
    </row>
    <row r="566" spans="21:28" ht="13">
      <c r="U566" s="20"/>
      <c r="V566" s="20"/>
      <c r="AB566" s="21"/>
    </row>
    <row r="567" spans="21:28" ht="13">
      <c r="U567" s="20"/>
      <c r="V567" s="20"/>
      <c r="AB567" s="21"/>
    </row>
    <row r="568" spans="21:28" ht="13">
      <c r="U568" s="20"/>
      <c r="V568" s="20"/>
      <c r="AB568" s="21"/>
    </row>
    <row r="569" spans="21:28" ht="13">
      <c r="U569" s="20"/>
      <c r="V569" s="20"/>
      <c r="AB569" s="21"/>
    </row>
    <row r="570" spans="21:28" ht="13">
      <c r="U570" s="20"/>
      <c r="V570" s="20"/>
      <c r="AB570" s="21"/>
    </row>
    <row r="571" spans="21:28" ht="13">
      <c r="U571" s="20"/>
      <c r="V571" s="20"/>
      <c r="AB571" s="21"/>
    </row>
    <row r="572" spans="21:28" ht="13">
      <c r="U572" s="20"/>
      <c r="V572" s="20"/>
      <c r="AB572" s="21"/>
    </row>
    <row r="573" spans="21:28" ht="13">
      <c r="U573" s="20"/>
      <c r="V573" s="20"/>
      <c r="AB573" s="21"/>
    </row>
    <row r="574" spans="21:28" ht="13">
      <c r="U574" s="20"/>
      <c r="V574" s="20"/>
      <c r="AB574" s="21"/>
    </row>
    <row r="575" spans="21:28" ht="13">
      <c r="U575" s="20"/>
      <c r="V575" s="20"/>
      <c r="AB575" s="21"/>
    </row>
    <row r="576" spans="21:28" ht="13">
      <c r="U576" s="20"/>
      <c r="V576" s="20"/>
      <c r="AB576" s="21"/>
    </row>
    <row r="577" spans="21:28" ht="13">
      <c r="U577" s="20"/>
      <c r="V577" s="20"/>
      <c r="AB577" s="21"/>
    </row>
    <row r="578" spans="21:28" ht="13">
      <c r="U578" s="20"/>
      <c r="V578" s="20"/>
      <c r="AB578" s="21"/>
    </row>
    <row r="579" spans="21:28" ht="13">
      <c r="U579" s="20"/>
      <c r="V579" s="20"/>
      <c r="AB579" s="21"/>
    </row>
    <row r="580" spans="21:28" ht="13">
      <c r="U580" s="20"/>
      <c r="V580" s="20"/>
      <c r="AB580" s="21"/>
    </row>
    <row r="581" spans="21:28" ht="13">
      <c r="U581" s="20"/>
      <c r="V581" s="20"/>
      <c r="AB581" s="21"/>
    </row>
    <row r="582" spans="21:28" ht="13">
      <c r="U582" s="20"/>
      <c r="V582" s="20"/>
      <c r="AB582" s="21"/>
    </row>
    <row r="583" spans="21:28" ht="13">
      <c r="U583" s="20"/>
      <c r="V583" s="20"/>
      <c r="AB583" s="21"/>
    </row>
    <row r="584" spans="21:28" ht="13">
      <c r="U584" s="20"/>
      <c r="V584" s="20"/>
      <c r="AB584" s="21"/>
    </row>
    <row r="585" spans="21:28" ht="13">
      <c r="U585" s="20"/>
      <c r="V585" s="20"/>
      <c r="AB585" s="21"/>
    </row>
    <row r="586" spans="21:28" ht="13">
      <c r="U586" s="20"/>
      <c r="V586" s="20"/>
      <c r="AB586" s="21"/>
    </row>
    <row r="587" spans="21:28" ht="13">
      <c r="U587" s="20"/>
      <c r="V587" s="20"/>
      <c r="AB587" s="21"/>
    </row>
    <row r="588" spans="21:28" ht="13">
      <c r="U588" s="20"/>
      <c r="V588" s="20"/>
      <c r="AB588" s="21"/>
    </row>
    <row r="589" spans="21:28" ht="13">
      <c r="U589" s="20"/>
      <c r="V589" s="20"/>
      <c r="AB589" s="21"/>
    </row>
    <row r="590" spans="21:28" ht="13">
      <c r="U590" s="20"/>
      <c r="V590" s="20"/>
      <c r="AB590" s="21"/>
    </row>
    <row r="591" spans="21:28" ht="13">
      <c r="U591" s="20"/>
      <c r="V591" s="20"/>
      <c r="AB591" s="21"/>
    </row>
    <row r="592" spans="21:28" ht="13">
      <c r="U592" s="20"/>
      <c r="V592" s="20"/>
      <c r="AB592" s="21"/>
    </row>
    <row r="593" spans="21:28" ht="13">
      <c r="U593" s="20"/>
      <c r="V593" s="20"/>
      <c r="AB593" s="21"/>
    </row>
    <row r="594" spans="21:28" ht="13">
      <c r="U594" s="20"/>
      <c r="V594" s="20"/>
      <c r="AB594" s="21"/>
    </row>
    <row r="595" spans="21:28" ht="13">
      <c r="U595" s="20"/>
      <c r="V595" s="20"/>
      <c r="AB595" s="21"/>
    </row>
    <row r="596" spans="21:28" ht="13">
      <c r="U596" s="20"/>
      <c r="V596" s="20"/>
      <c r="AB596" s="21"/>
    </row>
    <row r="597" spans="21:28" ht="13">
      <c r="U597" s="20"/>
      <c r="V597" s="20"/>
      <c r="AB597" s="21"/>
    </row>
    <row r="598" spans="21:28" ht="13">
      <c r="U598" s="20"/>
      <c r="V598" s="20"/>
      <c r="AB598" s="21"/>
    </row>
    <row r="599" spans="21:28" ht="13">
      <c r="U599" s="20"/>
      <c r="V599" s="20"/>
      <c r="AB599" s="21"/>
    </row>
    <row r="600" spans="21:28" ht="13">
      <c r="U600" s="20"/>
      <c r="V600" s="20"/>
      <c r="AB600" s="21"/>
    </row>
    <row r="601" spans="21:28" ht="13">
      <c r="U601" s="20"/>
      <c r="V601" s="20"/>
      <c r="AB601" s="21"/>
    </row>
    <row r="602" spans="21:28" ht="13">
      <c r="U602" s="20"/>
      <c r="V602" s="20"/>
      <c r="AB602" s="21"/>
    </row>
    <row r="603" spans="21:28" ht="13">
      <c r="U603" s="20"/>
      <c r="V603" s="20"/>
      <c r="AB603" s="21"/>
    </row>
    <row r="604" spans="21:28" ht="13">
      <c r="U604" s="20"/>
      <c r="V604" s="20"/>
      <c r="AB604" s="21"/>
    </row>
    <row r="605" spans="21:28" ht="13">
      <c r="U605" s="20"/>
      <c r="V605" s="20"/>
      <c r="AB605" s="21"/>
    </row>
    <row r="606" spans="21:28" ht="13">
      <c r="U606" s="20"/>
      <c r="V606" s="20"/>
      <c r="AB606" s="21"/>
    </row>
    <row r="607" spans="21:28" ht="13">
      <c r="U607" s="20"/>
      <c r="V607" s="20"/>
      <c r="AB607" s="21"/>
    </row>
    <row r="608" spans="21:28" ht="13">
      <c r="U608" s="20"/>
      <c r="V608" s="20"/>
      <c r="AB608" s="21"/>
    </row>
    <row r="609" spans="21:28" ht="13">
      <c r="U609" s="20"/>
      <c r="V609" s="20"/>
      <c r="AB609" s="21"/>
    </row>
    <row r="610" spans="21:28" ht="13">
      <c r="U610" s="20"/>
      <c r="V610" s="20"/>
      <c r="AB610" s="21"/>
    </row>
    <row r="611" spans="21:28" ht="13">
      <c r="U611" s="20"/>
      <c r="V611" s="20"/>
      <c r="AB611" s="21"/>
    </row>
    <row r="612" spans="21:28" ht="13">
      <c r="U612" s="20"/>
      <c r="V612" s="20"/>
      <c r="AB612" s="21"/>
    </row>
    <row r="613" spans="21:28" ht="13">
      <c r="U613" s="20"/>
      <c r="V613" s="20"/>
      <c r="AB613" s="21"/>
    </row>
    <row r="614" spans="21:28" ht="13">
      <c r="U614" s="20"/>
      <c r="V614" s="20"/>
      <c r="AB614" s="21"/>
    </row>
    <row r="615" spans="21:28" ht="13">
      <c r="U615" s="20"/>
      <c r="V615" s="20"/>
      <c r="AB615" s="21"/>
    </row>
    <row r="616" spans="21:28" ht="13">
      <c r="U616" s="20"/>
      <c r="V616" s="20"/>
      <c r="AB616" s="21"/>
    </row>
    <row r="617" spans="21:28" ht="13">
      <c r="U617" s="20"/>
      <c r="V617" s="20"/>
      <c r="AB617" s="21"/>
    </row>
    <row r="618" spans="21:28" ht="13">
      <c r="U618" s="20"/>
      <c r="V618" s="20"/>
      <c r="AB618" s="21"/>
    </row>
    <row r="619" spans="21:28" ht="13">
      <c r="U619" s="20"/>
      <c r="V619" s="20"/>
      <c r="AB619" s="21"/>
    </row>
    <row r="620" spans="21:28" ht="13">
      <c r="U620" s="20"/>
      <c r="V620" s="20"/>
      <c r="AB620" s="21"/>
    </row>
    <row r="621" spans="21:28" ht="13">
      <c r="U621" s="20"/>
      <c r="V621" s="20"/>
      <c r="AB621" s="21"/>
    </row>
    <row r="622" spans="21:28" ht="13">
      <c r="U622" s="20"/>
      <c r="V622" s="20"/>
      <c r="AB622" s="21"/>
    </row>
    <row r="623" spans="21:28" ht="13">
      <c r="U623" s="20"/>
      <c r="V623" s="20"/>
      <c r="AB623" s="21"/>
    </row>
    <row r="624" spans="21:28" ht="13">
      <c r="U624" s="20"/>
      <c r="V624" s="20"/>
      <c r="AB624" s="21"/>
    </row>
    <row r="625" spans="21:28" ht="13">
      <c r="U625" s="20"/>
      <c r="V625" s="20"/>
      <c r="AB625" s="21"/>
    </row>
    <row r="626" spans="21:28" ht="13">
      <c r="U626" s="20"/>
      <c r="V626" s="20"/>
      <c r="AB626" s="21"/>
    </row>
    <row r="627" spans="21:28" ht="13">
      <c r="U627" s="20"/>
      <c r="V627" s="20"/>
      <c r="AB627" s="21"/>
    </row>
    <row r="628" spans="21:28" ht="13">
      <c r="U628" s="20"/>
      <c r="V628" s="20"/>
      <c r="AB628" s="21"/>
    </row>
    <row r="629" spans="21:28" ht="13">
      <c r="U629" s="20"/>
      <c r="V629" s="20"/>
      <c r="AB629" s="21"/>
    </row>
    <row r="630" spans="21:28" ht="13">
      <c r="U630" s="20"/>
      <c r="V630" s="20"/>
      <c r="AB630" s="21"/>
    </row>
    <row r="631" spans="21:28" ht="13">
      <c r="U631" s="20"/>
      <c r="V631" s="20"/>
      <c r="AB631" s="21"/>
    </row>
    <row r="632" spans="21:28" ht="13">
      <c r="U632" s="20"/>
      <c r="V632" s="20"/>
      <c r="AB632" s="21"/>
    </row>
    <row r="633" spans="21:28" ht="13">
      <c r="U633" s="20"/>
      <c r="V633" s="20"/>
      <c r="AB633" s="21"/>
    </row>
    <row r="634" spans="21:28" ht="13">
      <c r="U634" s="20"/>
      <c r="V634" s="20"/>
      <c r="AB634" s="21"/>
    </row>
    <row r="635" spans="21:28" ht="13">
      <c r="U635" s="20"/>
      <c r="V635" s="20"/>
      <c r="AB635" s="21"/>
    </row>
    <row r="636" spans="21:28" ht="13">
      <c r="U636" s="20"/>
      <c r="V636" s="20"/>
      <c r="AB636" s="21"/>
    </row>
    <row r="637" spans="21:28" ht="13">
      <c r="U637" s="20"/>
      <c r="V637" s="20"/>
      <c r="AB637" s="21"/>
    </row>
    <row r="638" spans="21:28" ht="13">
      <c r="U638" s="20"/>
      <c r="V638" s="20"/>
      <c r="AB638" s="21"/>
    </row>
    <row r="639" spans="21:28" ht="13">
      <c r="U639" s="20"/>
      <c r="V639" s="20"/>
      <c r="AB639" s="21"/>
    </row>
    <row r="640" spans="21:28" ht="13">
      <c r="U640" s="20"/>
      <c r="V640" s="20"/>
      <c r="AB640" s="21"/>
    </row>
    <row r="641" spans="21:28" ht="13">
      <c r="U641" s="20"/>
      <c r="V641" s="20"/>
      <c r="AB641" s="21"/>
    </row>
    <row r="642" spans="21:28" ht="13">
      <c r="U642" s="20"/>
      <c r="V642" s="20"/>
      <c r="AB642" s="21"/>
    </row>
    <row r="643" spans="21:28" ht="13">
      <c r="U643" s="20"/>
      <c r="V643" s="20"/>
      <c r="AB643" s="21"/>
    </row>
    <row r="644" spans="21:28" ht="13">
      <c r="U644" s="20"/>
      <c r="V644" s="20"/>
      <c r="AB644" s="21"/>
    </row>
    <row r="645" spans="21:28" ht="13">
      <c r="U645" s="20"/>
      <c r="V645" s="20"/>
      <c r="AB645" s="21"/>
    </row>
    <row r="646" spans="21:28" ht="13">
      <c r="U646" s="20"/>
      <c r="V646" s="20"/>
      <c r="AB646" s="21"/>
    </row>
    <row r="647" spans="21:28" ht="13">
      <c r="U647" s="20"/>
      <c r="V647" s="20"/>
      <c r="AB647" s="21"/>
    </row>
    <row r="648" spans="21:28" ht="13">
      <c r="U648" s="20"/>
      <c r="V648" s="20"/>
      <c r="AB648" s="21"/>
    </row>
    <row r="649" spans="21:28" ht="13">
      <c r="U649" s="20"/>
      <c r="V649" s="20"/>
      <c r="AB649" s="21"/>
    </row>
    <row r="650" spans="21:28" ht="13">
      <c r="U650" s="20"/>
      <c r="V650" s="20"/>
      <c r="AB650" s="21"/>
    </row>
    <row r="651" spans="21:28" ht="13">
      <c r="U651" s="20"/>
      <c r="V651" s="20"/>
      <c r="AB651" s="21"/>
    </row>
    <row r="652" spans="21:28" ht="13">
      <c r="U652" s="20"/>
      <c r="V652" s="20"/>
      <c r="AB652" s="21"/>
    </row>
    <row r="653" spans="21:28" ht="13">
      <c r="U653" s="20"/>
      <c r="V653" s="20"/>
      <c r="AB653" s="21"/>
    </row>
    <row r="654" spans="21:28" ht="13">
      <c r="U654" s="20"/>
      <c r="V654" s="20"/>
      <c r="AB654" s="21"/>
    </row>
    <row r="655" spans="21:28" ht="13">
      <c r="U655" s="20"/>
      <c r="V655" s="20"/>
      <c r="AB655" s="21"/>
    </row>
    <row r="656" spans="21:28" ht="13">
      <c r="U656" s="20"/>
      <c r="V656" s="20"/>
      <c r="AB656" s="21"/>
    </row>
    <row r="657" spans="21:28" ht="13">
      <c r="U657" s="20"/>
      <c r="V657" s="20"/>
      <c r="AB657" s="21"/>
    </row>
    <row r="658" spans="21:28" ht="13">
      <c r="U658" s="20"/>
      <c r="V658" s="20"/>
      <c r="AB658" s="21"/>
    </row>
    <row r="659" spans="21:28" ht="13">
      <c r="U659" s="20"/>
      <c r="V659" s="20"/>
      <c r="AB659" s="21"/>
    </row>
    <row r="660" spans="21:28" ht="13">
      <c r="U660" s="20"/>
      <c r="V660" s="20"/>
      <c r="AB660" s="21"/>
    </row>
    <row r="661" spans="21:28" ht="13">
      <c r="U661" s="20"/>
      <c r="V661" s="20"/>
      <c r="AB661" s="21"/>
    </row>
    <row r="662" spans="21:28" ht="13">
      <c r="U662" s="20"/>
      <c r="V662" s="20"/>
      <c r="AB662" s="21"/>
    </row>
    <row r="663" spans="21:28" ht="13">
      <c r="U663" s="20"/>
      <c r="V663" s="20"/>
      <c r="AB663" s="21"/>
    </row>
    <row r="664" spans="21:28" ht="13">
      <c r="U664" s="20"/>
      <c r="V664" s="20"/>
      <c r="AB664" s="21"/>
    </row>
    <row r="665" spans="21:28" ht="13">
      <c r="U665" s="20"/>
      <c r="V665" s="20"/>
      <c r="AB665" s="21"/>
    </row>
    <row r="666" spans="21:28" ht="13">
      <c r="U666" s="20"/>
      <c r="V666" s="20"/>
      <c r="AB666" s="21"/>
    </row>
    <row r="667" spans="21:28" ht="13">
      <c r="U667" s="20"/>
      <c r="V667" s="20"/>
      <c r="AB667" s="21"/>
    </row>
    <row r="668" spans="21:28" ht="13">
      <c r="U668" s="20"/>
      <c r="V668" s="20"/>
      <c r="AB668" s="21"/>
    </row>
    <row r="669" spans="21:28" ht="13">
      <c r="U669" s="20"/>
      <c r="V669" s="20"/>
      <c r="AB669" s="21"/>
    </row>
    <row r="670" spans="21:28" ht="13">
      <c r="U670" s="20"/>
      <c r="V670" s="20"/>
      <c r="AB670" s="21"/>
    </row>
    <row r="671" spans="21:28" ht="13">
      <c r="U671" s="20"/>
      <c r="V671" s="20"/>
      <c r="AB671" s="21"/>
    </row>
    <row r="672" spans="21:28" ht="13">
      <c r="U672" s="20"/>
      <c r="V672" s="20"/>
      <c r="AB672" s="21"/>
    </row>
    <row r="673" spans="21:28" ht="13">
      <c r="U673" s="20"/>
      <c r="V673" s="20"/>
      <c r="AB673" s="21"/>
    </row>
    <row r="674" spans="21:28" ht="13">
      <c r="U674" s="20"/>
      <c r="V674" s="20"/>
      <c r="AB674" s="21"/>
    </row>
    <row r="675" spans="21:28" ht="13">
      <c r="U675" s="20"/>
      <c r="V675" s="20"/>
      <c r="AB675" s="21"/>
    </row>
    <row r="676" spans="21:28" ht="13">
      <c r="U676" s="20"/>
      <c r="V676" s="20"/>
      <c r="AB676" s="21"/>
    </row>
    <row r="677" spans="21:28" ht="13">
      <c r="U677" s="20"/>
      <c r="V677" s="20"/>
      <c r="AB677" s="21"/>
    </row>
    <row r="678" spans="21:28" ht="13">
      <c r="U678" s="20"/>
      <c r="V678" s="20"/>
      <c r="AB678" s="21"/>
    </row>
    <row r="679" spans="21:28" ht="13">
      <c r="U679" s="20"/>
      <c r="V679" s="20"/>
      <c r="AB679" s="21"/>
    </row>
    <row r="680" spans="21:28" ht="13">
      <c r="U680" s="20"/>
      <c r="V680" s="20"/>
      <c r="AB680" s="21"/>
    </row>
    <row r="681" spans="21:28" ht="13">
      <c r="U681" s="20"/>
      <c r="V681" s="20"/>
      <c r="AB681" s="21"/>
    </row>
    <row r="682" spans="21:28" ht="13">
      <c r="U682" s="20"/>
      <c r="V682" s="20"/>
      <c r="AB682" s="21"/>
    </row>
    <row r="683" spans="21:28" ht="13">
      <c r="U683" s="20"/>
      <c r="V683" s="20"/>
      <c r="AB683" s="21"/>
    </row>
    <row r="684" spans="21:28" ht="13">
      <c r="U684" s="20"/>
      <c r="V684" s="20"/>
      <c r="AB684" s="21"/>
    </row>
    <row r="685" spans="21:28" ht="13">
      <c r="U685" s="20"/>
      <c r="V685" s="20"/>
      <c r="AB685" s="21"/>
    </row>
    <row r="686" spans="21:28" ht="13">
      <c r="U686" s="20"/>
      <c r="V686" s="20"/>
      <c r="AB686" s="21"/>
    </row>
    <row r="687" spans="21:28" ht="13">
      <c r="U687" s="20"/>
      <c r="V687" s="20"/>
      <c r="AB687" s="21"/>
    </row>
    <row r="688" spans="21:28" ht="13">
      <c r="U688" s="20"/>
      <c r="V688" s="20"/>
      <c r="AB688" s="21"/>
    </row>
    <row r="689" spans="21:28" ht="13">
      <c r="U689" s="20"/>
      <c r="V689" s="20"/>
      <c r="AB689" s="21"/>
    </row>
    <row r="690" spans="21:28" ht="13">
      <c r="U690" s="20"/>
      <c r="V690" s="20"/>
      <c r="AB690" s="21"/>
    </row>
    <row r="691" spans="21:28" ht="13">
      <c r="U691" s="20"/>
      <c r="V691" s="20"/>
      <c r="AB691" s="21"/>
    </row>
    <row r="692" spans="21:28" ht="13">
      <c r="U692" s="20"/>
      <c r="V692" s="20"/>
      <c r="AB692" s="21"/>
    </row>
    <row r="693" spans="21:28" ht="13">
      <c r="U693" s="20"/>
      <c r="V693" s="20"/>
      <c r="AB693" s="21"/>
    </row>
    <row r="694" spans="21:28" ht="13">
      <c r="U694" s="20"/>
      <c r="V694" s="20"/>
      <c r="AB694" s="21"/>
    </row>
    <row r="695" spans="21:28" ht="13">
      <c r="U695" s="20"/>
      <c r="V695" s="20"/>
      <c r="AB695" s="21"/>
    </row>
    <row r="696" spans="21:28" ht="13">
      <c r="U696" s="20"/>
      <c r="V696" s="20"/>
      <c r="AB696" s="21"/>
    </row>
    <row r="697" spans="21:28" ht="13">
      <c r="U697" s="20"/>
      <c r="V697" s="20"/>
      <c r="AB697" s="21"/>
    </row>
    <row r="698" spans="21:28" ht="13">
      <c r="U698" s="20"/>
      <c r="V698" s="20"/>
      <c r="AB698" s="21"/>
    </row>
    <row r="699" spans="21:28" ht="13">
      <c r="U699" s="20"/>
      <c r="V699" s="20"/>
      <c r="AB699" s="21"/>
    </row>
    <row r="700" spans="21:28" ht="13">
      <c r="U700" s="20"/>
      <c r="V700" s="20"/>
      <c r="AB700" s="21"/>
    </row>
    <row r="701" spans="21:28" ht="13">
      <c r="U701" s="20"/>
      <c r="V701" s="20"/>
      <c r="AB701" s="21"/>
    </row>
    <row r="702" spans="21:28" ht="13">
      <c r="U702" s="20"/>
      <c r="V702" s="20"/>
      <c r="AB702" s="21"/>
    </row>
    <row r="703" spans="21:28" ht="13">
      <c r="U703" s="20"/>
      <c r="V703" s="20"/>
      <c r="AB703" s="21"/>
    </row>
    <row r="704" spans="21:28" ht="13">
      <c r="U704" s="20"/>
      <c r="V704" s="20"/>
      <c r="AB704" s="21"/>
    </row>
    <row r="705" spans="21:28" ht="13">
      <c r="U705" s="20"/>
      <c r="V705" s="20"/>
      <c r="AB705" s="21"/>
    </row>
    <row r="706" spans="21:28" ht="13">
      <c r="U706" s="20"/>
      <c r="V706" s="20"/>
      <c r="AB706" s="21"/>
    </row>
    <row r="707" spans="21:28" ht="13">
      <c r="U707" s="20"/>
      <c r="V707" s="20"/>
      <c r="AB707" s="21"/>
    </row>
    <row r="708" spans="21:28" ht="13">
      <c r="U708" s="20"/>
      <c r="V708" s="20"/>
      <c r="AB708" s="21"/>
    </row>
    <row r="709" spans="21:28" ht="13">
      <c r="U709" s="20"/>
      <c r="V709" s="20"/>
      <c r="AB709" s="21"/>
    </row>
    <row r="710" spans="21:28" ht="13">
      <c r="U710" s="20"/>
      <c r="V710" s="20"/>
      <c r="AB710" s="21"/>
    </row>
    <row r="711" spans="21:28" ht="13">
      <c r="U711" s="20"/>
      <c r="V711" s="20"/>
      <c r="AB711" s="21"/>
    </row>
    <row r="712" spans="21:28" ht="13">
      <c r="U712" s="20"/>
      <c r="V712" s="20"/>
      <c r="AB712" s="21"/>
    </row>
    <row r="713" spans="21:28" ht="13">
      <c r="U713" s="20"/>
      <c r="V713" s="20"/>
      <c r="AB713" s="21"/>
    </row>
    <row r="714" spans="21:28" ht="13">
      <c r="U714" s="20"/>
      <c r="V714" s="20"/>
      <c r="AB714" s="21"/>
    </row>
    <row r="715" spans="21:28" ht="13">
      <c r="U715" s="20"/>
      <c r="V715" s="20"/>
      <c r="AB715" s="21"/>
    </row>
    <row r="716" spans="21:28" ht="13">
      <c r="U716" s="20"/>
      <c r="V716" s="20"/>
      <c r="AB716" s="21"/>
    </row>
    <row r="717" spans="21:28" ht="13">
      <c r="U717" s="20"/>
      <c r="V717" s="20"/>
      <c r="AB717" s="21"/>
    </row>
    <row r="718" spans="21:28" ht="13">
      <c r="U718" s="20"/>
      <c r="V718" s="20"/>
      <c r="AB718" s="21"/>
    </row>
    <row r="719" spans="21:28" ht="13">
      <c r="U719" s="20"/>
      <c r="V719" s="20"/>
      <c r="AB719" s="21"/>
    </row>
    <row r="720" spans="21:28" ht="13">
      <c r="U720" s="20"/>
      <c r="V720" s="20"/>
      <c r="AB720" s="21"/>
    </row>
    <row r="721" spans="21:28" ht="13">
      <c r="U721" s="20"/>
      <c r="V721" s="20"/>
      <c r="AB721" s="21"/>
    </row>
    <row r="722" spans="21:28" ht="13">
      <c r="U722" s="20"/>
      <c r="V722" s="20"/>
      <c r="AB722" s="21"/>
    </row>
    <row r="723" spans="21:28" ht="13">
      <c r="U723" s="20"/>
      <c r="V723" s="20"/>
      <c r="AB723" s="21"/>
    </row>
    <row r="724" spans="21:28" ht="13">
      <c r="U724" s="20"/>
      <c r="V724" s="20"/>
      <c r="AB724" s="21"/>
    </row>
    <row r="725" spans="21:28" ht="13">
      <c r="U725" s="20"/>
      <c r="V725" s="20"/>
      <c r="AB725" s="21"/>
    </row>
    <row r="726" spans="21:28" ht="13">
      <c r="U726" s="20"/>
      <c r="V726" s="20"/>
      <c r="AB726" s="21"/>
    </row>
    <row r="727" spans="21:28" ht="13">
      <c r="U727" s="20"/>
      <c r="V727" s="20"/>
      <c r="AB727" s="21"/>
    </row>
    <row r="728" spans="21:28" ht="13">
      <c r="U728" s="20"/>
      <c r="V728" s="20"/>
      <c r="AB728" s="21"/>
    </row>
    <row r="729" spans="21:28" ht="13">
      <c r="U729" s="20"/>
      <c r="V729" s="20"/>
      <c r="AB729" s="21"/>
    </row>
    <row r="730" spans="21:28" ht="13">
      <c r="U730" s="20"/>
      <c r="V730" s="20"/>
      <c r="AB730" s="21"/>
    </row>
    <row r="731" spans="21:28" ht="13">
      <c r="U731" s="20"/>
      <c r="V731" s="20"/>
      <c r="AB731" s="21"/>
    </row>
    <row r="732" spans="21:28" ht="13">
      <c r="U732" s="20"/>
      <c r="V732" s="20"/>
      <c r="AB732" s="21"/>
    </row>
    <row r="733" spans="21:28" ht="13">
      <c r="U733" s="20"/>
      <c r="V733" s="20"/>
      <c r="AB733" s="21"/>
    </row>
    <row r="734" spans="21:28" ht="13">
      <c r="U734" s="20"/>
      <c r="V734" s="20"/>
      <c r="AB734" s="21"/>
    </row>
    <row r="735" spans="21:28" ht="13">
      <c r="U735" s="20"/>
      <c r="V735" s="20"/>
      <c r="AB735" s="21"/>
    </row>
    <row r="736" spans="21:28" ht="13">
      <c r="U736" s="20"/>
      <c r="V736" s="20"/>
      <c r="AB736" s="21"/>
    </row>
    <row r="737" spans="21:28" ht="13">
      <c r="U737" s="20"/>
      <c r="V737" s="20"/>
      <c r="AB737" s="21"/>
    </row>
    <row r="738" spans="21:28" ht="13">
      <c r="U738" s="20"/>
      <c r="V738" s="20"/>
      <c r="AB738" s="21"/>
    </row>
    <row r="739" spans="21:28" ht="13">
      <c r="U739" s="20"/>
      <c r="V739" s="20"/>
      <c r="AB739" s="21"/>
    </row>
    <row r="740" spans="21:28" ht="13">
      <c r="U740" s="20"/>
      <c r="V740" s="20"/>
      <c r="AB740" s="21"/>
    </row>
    <row r="741" spans="21:28" ht="13">
      <c r="U741" s="20"/>
      <c r="V741" s="20"/>
      <c r="AB741" s="21"/>
    </row>
    <row r="742" spans="21:28" ht="13">
      <c r="U742" s="20"/>
      <c r="V742" s="20"/>
      <c r="AB742" s="21"/>
    </row>
    <row r="743" spans="21:28" ht="13">
      <c r="U743" s="20"/>
      <c r="V743" s="20"/>
      <c r="AB743" s="21"/>
    </row>
    <row r="744" spans="21:28" ht="13">
      <c r="U744" s="20"/>
      <c r="V744" s="20"/>
      <c r="AB744" s="21"/>
    </row>
    <row r="745" spans="21:28" ht="13">
      <c r="U745" s="20"/>
      <c r="V745" s="20"/>
      <c r="AB745" s="21"/>
    </row>
    <row r="746" spans="21:28" ht="13">
      <c r="U746" s="20"/>
      <c r="V746" s="20"/>
      <c r="AB746" s="21"/>
    </row>
    <row r="747" spans="21:28" ht="13">
      <c r="U747" s="20"/>
      <c r="V747" s="20"/>
      <c r="AB747" s="21"/>
    </row>
    <row r="748" spans="21:28" ht="13">
      <c r="U748" s="20"/>
      <c r="V748" s="20"/>
      <c r="AB748" s="21"/>
    </row>
    <row r="749" spans="21:28" ht="13">
      <c r="U749" s="20"/>
      <c r="V749" s="20"/>
      <c r="AB749" s="21"/>
    </row>
    <row r="750" spans="21:28" ht="13">
      <c r="U750" s="20"/>
      <c r="V750" s="20"/>
      <c r="AB750" s="21"/>
    </row>
    <row r="751" spans="21:28" ht="13">
      <c r="U751" s="20"/>
      <c r="V751" s="20"/>
      <c r="AB751" s="21"/>
    </row>
    <row r="752" spans="21:28" ht="13">
      <c r="U752" s="20"/>
      <c r="V752" s="20"/>
      <c r="AB752" s="21"/>
    </row>
    <row r="753" spans="21:28" ht="13">
      <c r="U753" s="20"/>
      <c r="V753" s="20"/>
      <c r="AB753" s="21"/>
    </row>
    <row r="754" spans="21:28" ht="13">
      <c r="U754" s="20"/>
      <c r="V754" s="20"/>
      <c r="AB754" s="21"/>
    </row>
    <row r="755" spans="21:28" ht="13">
      <c r="U755" s="20"/>
      <c r="V755" s="20"/>
      <c r="AB755" s="21"/>
    </row>
    <row r="756" spans="21:28" ht="13">
      <c r="U756" s="20"/>
      <c r="V756" s="20"/>
      <c r="AB756" s="21"/>
    </row>
    <row r="757" spans="21:28" ht="13">
      <c r="U757" s="20"/>
      <c r="V757" s="20"/>
      <c r="AB757" s="21"/>
    </row>
    <row r="758" spans="21:28" ht="13">
      <c r="U758" s="20"/>
      <c r="V758" s="20"/>
      <c r="AB758" s="21"/>
    </row>
    <row r="759" spans="21:28" ht="13">
      <c r="U759" s="20"/>
      <c r="V759" s="20"/>
      <c r="AB759" s="21"/>
    </row>
    <row r="760" spans="21:28" ht="13">
      <c r="U760" s="20"/>
      <c r="V760" s="20"/>
      <c r="AB760" s="21"/>
    </row>
    <row r="761" spans="21:28" ht="13">
      <c r="U761" s="20"/>
      <c r="V761" s="20"/>
      <c r="AB761" s="21"/>
    </row>
    <row r="762" spans="21:28" ht="13">
      <c r="U762" s="20"/>
      <c r="V762" s="20"/>
      <c r="AB762" s="21"/>
    </row>
    <row r="763" spans="21:28" ht="13">
      <c r="U763" s="20"/>
      <c r="V763" s="20"/>
      <c r="AB763" s="21"/>
    </row>
    <row r="764" spans="21:28" ht="13">
      <c r="U764" s="20"/>
      <c r="V764" s="20"/>
      <c r="AB764" s="21"/>
    </row>
    <row r="765" spans="21:28" ht="13">
      <c r="U765" s="20"/>
      <c r="V765" s="20"/>
      <c r="AB765" s="21"/>
    </row>
    <row r="766" spans="21:28" ht="13">
      <c r="U766" s="20"/>
      <c r="V766" s="20"/>
      <c r="AB766" s="21"/>
    </row>
    <row r="767" spans="21:28" ht="13">
      <c r="U767" s="20"/>
      <c r="V767" s="20"/>
      <c r="AB767" s="21"/>
    </row>
    <row r="768" spans="21:28" ht="13">
      <c r="U768" s="20"/>
      <c r="V768" s="20"/>
      <c r="AB768" s="21"/>
    </row>
    <row r="769" spans="21:28" ht="13">
      <c r="U769" s="20"/>
      <c r="V769" s="20"/>
      <c r="AB769" s="21"/>
    </row>
    <row r="770" spans="21:28" ht="13">
      <c r="U770" s="20"/>
      <c r="V770" s="20"/>
      <c r="AB770" s="21"/>
    </row>
    <row r="771" spans="21:28" ht="13">
      <c r="U771" s="20"/>
      <c r="V771" s="20"/>
      <c r="AB771" s="21"/>
    </row>
    <row r="772" spans="21:28" ht="13">
      <c r="U772" s="20"/>
      <c r="V772" s="20"/>
      <c r="AB772" s="21"/>
    </row>
    <row r="773" spans="21:28" ht="13">
      <c r="U773" s="20"/>
      <c r="V773" s="20"/>
      <c r="AB773" s="21"/>
    </row>
    <row r="774" spans="21:28" ht="13">
      <c r="U774" s="20"/>
      <c r="V774" s="20"/>
      <c r="AB774" s="21"/>
    </row>
    <row r="775" spans="21:28" ht="13">
      <c r="U775" s="20"/>
      <c r="V775" s="20"/>
      <c r="AB775" s="21"/>
    </row>
    <row r="776" spans="21:28" ht="13">
      <c r="U776" s="20"/>
      <c r="V776" s="20"/>
      <c r="AB776" s="21"/>
    </row>
    <row r="777" spans="21:28" ht="13">
      <c r="U777" s="20"/>
      <c r="V777" s="20"/>
      <c r="AB777" s="21"/>
    </row>
    <row r="778" spans="21:28" ht="13">
      <c r="U778" s="20"/>
      <c r="V778" s="20"/>
      <c r="AB778" s="21"/>
    </row>
    <row r="779" spans="21:28" ht="13">
      <c r="U779" s="20"/>
      <c r="V779" s="20"/>
      <c r="AB779" s="21"/>
    </row>
    <row r="780" spans="21:28" ht="13">
      <c r="U780" s="20"/>
      <c r="V780" s="20"/>
      <c r="AB780" s="21"/>
    </row>
    <row r="781" spans="21:28" ht="13">
      <c r="U781" s="20"/>
      <c r="V781" s="20"/>
      <c r="AB781" s="21"/>
    </row>
    <row r="782" spans="21:28" ht="13">
      <c r="U782" s="20"/>
      <c r="V782" s="20"/>
      <c r="AB782" s="21"/>
    </row>
    <row r="783" spans="21:28" ht="13">
      <c r="U783" s="20"/>
      <c r="V783" s="20"/>
      <c r="AB783" s="21"/>
    </row>
    <row r="784" spans="21:28" ht="13">
      <c r="U784" s="20"/>
      <c r="V784" s="20"/>
      <c r="AB784" s="21"/>
    </row>
    <row r="785" spans="21:28" ht="13">
      <c r="U785" s="20"/>
      <c r="V785" s="20"/>
      <c r="AB785" s="21"/>
    </row>
    <row r="786" spans="21:28" ht="13">
      <c r="U786" s="20"/>
      <c r="V786" s="20"/>
      <c r="AB786" s="21"/>
    </row>
    <row r="787" spans="21:28" ht="13">
      <c r="U787" s="20"/>
      <c r="V787" s="20"/>
      <c r="AB787" s="21"/>
    </row>
    <row r="788" spans="21:28" ht="13">
      <c r="U788" s="20"/>
      <c r="V788" s="20"/>
      <c r="AB788" s="21"/>
    </row>
    <row r="789" spans="21:28" ht="13">
      <c r="U789" s="20"/>
      <c r="V789" s="20"/>
      <c r="AB789" s="21"/>
    </row>
    <row r="790" spans="21:28" ht="13">
      <c r="U790" s="20"/>
      <c r="V790" s="20"/>
      <c r="AB790" s="21"/>
    </row>
    <row r="791" spans="21:28" ht="13">
      <c r="U791" s="20"/>
      <c r="V791" s="20"/>
      <c r="AB791" s="21"/>
    </row>
    <row r="792" spans="21:28" ht="13">
      <c r="U792" s="20"/>
      <c r="V792" s="20"/>
      <c r="AB792" s="21"/>
    </row>
    <row r="793" spans="21:28" ht="13">
      <c r="U793" s="20"/>
      <c r="V793" s="20"/>
      <c r="AB793" s="21"/>
    </row>
    <row r="794" spans="21:28" ht="13">
      <c r="U794" s="20"/>
      <c r="V794" s="20"/>
      <c r="AB794" s="21"/>
    </row>
    <row r="795" spans="21:28" ht="13">
      <c r="U795" s="20"/>
      <c r="V795" s="20"/>
      <c r="AB795" s="21"/>
    </row>
    <row r="796" spans="21:28" ht="13">
      <c r="U796" s="20"/>
      <c r="V796" s="20"/>
      <c r="AB796" s="21"/>
    </row>
    <row r="797" spans="21:28" ht="13">
      <c r="U797" s="20"/>
      <c r="V797" s="20"/>
      <c r="AB797" s="21"/>
    </row>
    <row r="798" spans="21:28" ht="13">
      <c r="U798" s="20"/>
      <c r="V798" s="20"/>
      <c r="AB798" s="21"/>
    </row>
    <row r="799" spans="21:28" ht="13">
      <c r="U799" s="20"/>
      <c r="V799" s="20"/>
      <c r="AB799" s="21"/>
    </row>
    <row r="800" spans="21:28" ht="13">
      <c r="U800" s="20"/>
      <c r="V800" s="20"/>
      <c r="AB800" s="21"/>
    </row>
    <row r="801" spans="21:28" ht="13">
      <c r="U801" s="20"/>
      <c r="V801" s="20"/>
      <c r="AB801" s="21"/>
    </row>
    <row r="802" spans="21:28" ht="13">
      <c r="U802" s="20"/>
      <c r="V802" s="20"/>
      <c r="AB802" s="21"/>
    </row>
    <row r="803" spans="21:28" ht="13">
      <c r="U803" s="20"/>
      <c r="V803" s="20"/>
      <c r="AB803" s="21"/>
    </row>
    <row r="804" spans="21:28" ht="13">
      <c r="U804" s="20"/>
      <c r="V804" s="20"/>
      <c r="AB804" s="21"/>
    </row>
    <row r="805" spans="21:28" ht="13">
      <c r="U805" s="20"/>
      <c r="V805" s="20"/>
      <c r="AB805" s="21"/>
    </row>
    <row r="806" spans="21:28" ht="13">
      <c r="U806" s="20"/>
      <c r="V806" s="20"/>
      <c r="AB806" s="21"/>
    </row>
    <row r="807" spans="21:28" ht="13">
      <c r="U807" s="20"/>
      <c r="V807" s="20"/>
      <c r="AB807" s="21"/>
    </row>
    <row r="808" spans="21:28" ht="13">
      <c r="U808" s="20"/>
      <c r="V808" s="20"/>
      <c r="AB808" s="21"/>
    </row>
    <row r="809" spans="21:28" ht="13">
      <c r="U809" s="20"/>
      <c r="V809" s="20"/>
      <c r="AB809" s="21"/>
    </row>
    <row r="810" spans="21:28" ht="13">
      <c r="U810" s="20"/>
      <c r="V810" s="20"/>
      <c r="AB810" s="21"/>
    </row>
    <row r="811" spans="21:28" ht="13">
      <c r="U811" s="20"/>
      <c r="V811" s="20"/>
      <c r="AB811" s="21"/>
    </row>
    <row r="812" spans="21:28" ht="13">
      <c r="U812" s="20"/>
      <c r="V812" s="20"/>
      <c r="AB812" s="21"/>
    </row>
    <row r="813" spans="21:28" ht="13">
      <c r="U813" s="20"/>
      <c r="V813" s="20"/>
      <c r="AB813" s="21"/>
    </row>
    <row r="814" spans="21:28" ht="13">
      <c r="U814" s="20"/>
      <c r="V814" s="20"/>
      <c r="AB814" s="21"/>
    </row>
    <row r="815" spans="21:28" ht="13">
      <c r="U815" s="20"/>
      <c r="V815" s="20"/>
      <c r="AB815" s="21"/>
    </row>
    <row r="816" spans="21:28" ht="13">
      <c r="U816" s="20"/>
      <c r="V816" s="20"/>
      <c r="AB816" s="21"/>
    </row>
    <row r="817" spans="21:28" ht="13">
      <c r="U817" s="20"/>
      <c r="V817" s="20"/>
      <c r="AB817" s="21"/>
    </row>
    <row r="818" spans="21:28" ht="13">
      <c r="U818" s="20"/>
      <c r="V818" s="20"/>
      <c r="AB818" s="21"/>
    </row>
    <row r="819" spans="21:28" ht="13">
      <c r="U819" s="20"/>
      <c r="V819" s="20"/>
      <c r="AB819" s="21"/>
    </row>
    <row r="820" spans="21:28" ht="13">
      <c r="U820" s="20"/>
      <c r="V820" s="20"/>
      <c r="AB820" s="21"/>
    </row>
    <row r="821" spans="21:28" ht="13">
      <c r="U821" s="20"/>
      <c r="V821" s="20"/>
      <c r="AB821" s="21"/>
    </row>
    <row r="822" spans="21:28" ht="13">
      <c r="U822" s="20"/>
      <c r="V822" s="20"/>
      <c r="AB822" s="21"/>
    </row>
    <row r="823" spans="21:28" ht="13">
      <c r="U823" s="20"/>
      <c r="V823" s="20"/>
      <c r="AB823" s="21"/>
    </row>
    <row r="824" spans="21:28" ht="13">
      <c r="U824" s="20"/>
      <c r="V824" s="20"/>
      <c r="AB824" s="21"/>
    </row>
    <row r="825" spans="21:28" ht="13">
      <c r="U825" s="20"/>
      <c r="V825" s="20"/>
      <c r="AB825" s="21"/>
    </row>
    <row r="826" spans="21:28" ht="13">
      <c r="U826" s="20"/>
      <c r="V826" s="20"/>
      <c r="AB826" s="21"/>
    </row>
    <row r="827" spans="21:28" ht="13">
      <c r="U827" s="20"/>
      <c r="V827" s="20"/>
      <c r="AB827" s="21"/>
    </row>
    <row r="828" spans="21:28" ht="13">
      <c r="U828" s="20"/>
      <c r="V828" s="20"/>
      <c r="AB828" s="21"/>
    </row>
    <row r="829" spans="21:28" ht="13">
      <c r="U829" s="20"/>
      <c r="V829" s="20"/>
      <c r="AB829" s="21"/>
    </row>
    <row r="830" spans="21:28" ht="13">
      <c r="U830" s="20"/>
      <c r="V830" s="20"/>
      <c r="AB830" s="21"/>
    </row>
    <row r="831" spans="21:28" ht="13">
      <c r="U831" s="20"/>
      <c r="V831" s="20"/>
      <c r="AB831" s="21"/>
    </row>
    <row r="832" spans="21:28" ht="13">
      <c r="U832" s="20"/>
      <c r="V832" s="20"/>
      <c r="AB832" s="21"/>
    </row>
    <row r="833" spans="21:28" ht="13">
      <c r="U833" s="20"/>
      <c r="V833" s="20"/>
      <c r="AB833" s="21"/>
    </row>
    <row r="834" spans="21:28" ht="13">
      <c r="U834" s="20"/>
      <c r="V834" s="20"/>
      <c r="AB834" s="21"/>
    </row>
    <row r="835" spans="21:28" ht="13">
      <c r="U835" s="20"/>
      <c r="V835" s="20"/>
      <c r="AB835" s="21"/>
    </row>
    <row r="836" spans="21:28" ht="13">
      <c r="U836" s="20"/>
      <c r="V836" s="20"/>
      <c r="AB836" s="21"/>
    </row>
    <row r="837" spans="21:28" ht="13">
      <c r="U837" s="20"/>
      <c r="V837" s="20"/>
      <c r="AB837" s="21"/>
    </row>
    <row r="838" spans="21:28" ht="13">
      <c r="U838" s="20"/>
      <c r="V838" s="20"/>
      <c r="AB838" s="21"/>
    </row>
    <row r="839" spans="21:28" ht="13">
      <c r="U839" s="20"/>
      <c r="V839" s="20"/>
      <c r="AB839" s="21"/>
    </row>
    <row r="840" spans="21:28" ht="13">
      <c r="U840" s="20"/>
      <c r="V840" s="20"/>
      <c r="AB840" s="21"/>
    </row>
    <row r="841" spans="21:28" ht="13">
      <c r="U841" s="20"/>
      <c r="V841" s="20"/>
      <c r="AB841" s="21"/>
    </row>
    <row r="842" spans="21:28" ht="13">
      <c r="U842" s="20"/>
      <c r="V842" s="20"/>
      <c r="AB842" s="21"/>
    </row>
    <row r="843" spans="21:28" ht="13">
      <c r="U843" s="20"/>
      <c r="V843" s="20"/>
      <c r="AB843" s="21"/>
    </row>
    <row r="844" spans="21:28" ht="13">
      <c r="U844" s="20"/>
      <c r="V844" s="20"/>
      <c r="AB844" s="21"/>
    </row>
    <row r="845" spans="21:28" ht="13">
      <c r="U845" s="20"/>
      <c r="V845" s="20"/>
      <c r="AB845" s="21"/>
    </row>
    <row r="846" spans="21:28" ht="13">
      <c r="U846" s="20"/>
      <c r="V846" s="20"/>
      <c r="AB846" s="21"/>
    </row>
    <row r="847" spans="21:28" ht="13">
      <c r="U847" s="20"/>
      <c r="V847" s="20"/>
      <c r="AB847" s="21"/>
    </row>
    <row r="848" spans="21:28" ht="13">
      <c r="U848" s="20"/>
      <c r="V848" s="20"/>
      <c r="AB848" s="21"/>
    </row>
    <row r="849" spans="21:28" ht="13">
      <c r="U849" s="20"/>
      <c r="V849" s="20"/>
      <c r="AB849" s="21"/>
    </row>
    <row r="850" spans="21:28" ht="13">
      <c r="U850" s="20"/>
      <c r="V850" s="20"/>
      <c r="AB850" s="21"/>
    </row>
    <row r="851" spans="21:28" ht="13">
      <c r="U851" s="20"/>
      <c r="V851" s="20"/>
      <c r="AB851" s="21"/>
    </row>
    <row r="852" spans="21:28" ht="13">
      <c r="U852" s="20"/>
      <c r="V852" s="20"/>
      <c r="AB852" s="21"/>
    </row>
    <row r="853" spans="21:28" ht="13">
      <c r="U853" s="20"/>
      <c r="V853" s="20"/>
      <c r="AB853" s="21"/>
    </row>
    <row r="854" spans="21:28" ht="13">
      <c r="U854" s="20"/>
      <c r="V854" s="20"/>
      <c r="AB854" s="21"/>
    </row>
    <row r="855" spans="21:28" ht="13">
      <c r="U855" s="20"/>
      <c r="V855" s="20"/>
      <c r="AB855" s="21"/>
    </row>
    <row r="856" spans="21:28" ht="13">
      <c r="U856" s="20"/>
      <c r="V856" s="20"/>
      <c r="AB856" s="21"/>
    </row>
    <row r="857" spans="21:28" ht="13">
      <c r="U857" s="20"/>
      <c r="V857" s="20"/>
      <c r="AB857" s="21"/>
    </row>
    <row r="858" spans="21:28" ht="13">
      <c r="U858" s="20"/>
      <c r="V858" s="20"/>
      <c r="AB858" s="21"/>
    </row>
    <row r="859" spans="21:28" ht="13">
      <c r="U859" s="20"/>
      <c r="V859" s="20"/>
      <c r="AB859" s="21"/>
    </row>
    <row r="860" spans="21:28" ht="13">
      <c r="U860" s="20"/>
      <c r="V860" s="20"/>
      <c r="AB860" s="21"/>
    </row>
    <row r="861" spans="21:28" ht="13">
      <c r="U861" s="20"/>
      <c r="V861" s="20"/>
      <c r="AB861" s="21"/>
    </row>
    <row r="862" spans="21:28" ht="13">
      <c r="U862" s="20"/>
      <c r="V862" s="20"/>
      <c r="AB862" s="21"/>
    </row>
    <row r="863" spans="21:28" ht="13">
      <c r="U863" s="20"/>
      <c r="V863" s="20"/>
      <c r="AB863" s="21"/>
    </row>
    <row r="864" spans="21:28" ht="13">
      <c r="U864" s="20"/>
      <c r="V864" s="20"/>
      <c r="AB864" s="21"/>
    </row>
    <row r="865" spans="21:28" ht="13">
      <c r="U865" s="20"/>
      <c r="V865" s="20"/>
      <c r="AB865" s="21"/>
    </row>
    <row r="866" spans="21:28" ht="13">
      <c r="U866" s="20"/>
      <c r="V866" s="20"/>
      <c r="AB866" s="21"/>
    </row>
    <row r="867" spans="21:28" ht="13">
      <c r="U867" s="20"/>
      <c r="V867" s="20"/>
      <c r="AB867" s="21"/>
    </row>
    <row r="868" spans="21:28" ht="13">
      <c r="U868" s="20"/>
      <c r="V868" s="20"/>
      <c r="AB868" s="21"/>
    </row>
    <row r="869" spans="21:28" ht="13">
      <c r="U869" s="20"/>
      <c r="V869" s="20"/>
      <c r="AB869" s="21"/>
    </row>
    <row r="870" spans="21:28" ht="13">
      <c r="U870" s="20"/>
      <c r="V870" s="20"/>
      <c r="AB870" s="21"/>
    </row>
    <row r="871" spans="21:28" ht="13">
      <c r="U871" s="20"/>
      <c r="V871" s="20"/>
      <c r="AB871" s="21"/>
    </row>
    <row r="872" spans="21:28" ht="13">
      <c r="U872" s="20"/>
      <c r="V872" s="20"/>
      <c r="AB872" s="21"/>
    </row>
    <row r="873" spans="21:28" ht="13">
      <c r="U873" s="20"/>
      <c r="V873" s="20"/>
      <c r="AB873" s="21"/>
    </row>
    <row r="874" spans="21:28" ht="13">
      <c r="U874" s="20"/>
      <c r="V874" s="20"/>
      <c r="AB874" s="21"/>
    </row>
    <row r="875" spans="21:28" ht="13">
      <c r="U875" s="20"/>
      <c r="V875" s="20"/>
      <c r="AB875" s="21"/>
    </row>
    <row r="876" spans="21:28" ht="13">
      <c r="U876" s="20"/>
      <c r="V876" s="20"/>
      <c r="AB876" s="21"/>
    </row>
    <row r="877" spans="21:28" ht="13">
      <c r="U877" s="20"/>
      <c r="V877" s="20"/>
      <c r="AB877" s="21"/>
    </row>
    <row r="878" spans="21:28" ht="13">
      <c r="U878" s="20"/>
      <c r="V878" s="20"/>
      <c r="AB878" s="21"/>
    </row>
    <row r="879" spans="21:28" ht="13">
      <c r="U879" s="20"/>
      <c r="V879" s="20"/>
      <c r="AB879" s="21"/>
    </row>
    <row r="880" spans="21:28" ht="13">
      <c r="U880" s="20"/>
      <c r="V880" s="20"/>
      <c r="AB880" s="21"/>
    </row>
    <row r="881" spans="21:28" ht="13">
      <c r="U881" s="20"/>
      <c r="V881" s="20"/>
      <c r="AB881" s="21"/>
    </row>
    <row r="882" spans="21:28" ht="13">
      <c r="U882" s="20"/>
      <c r="V882" s="20"/>
      <c r="AB882" s="21"/>
    </row>
    <row r="883" spans="21:28" ht="13">
      <c r="U883" s="20"/>
      <c r="V883" s="20"/>
      <c r="AB883" s="21"/>
    </row>
    <row r="884" spans="21:28" ht="13">
      <c r="U884" s="20"/>
      <c r="V884" s="20"/>
      <c r="AB884" s="21"/>
    </row>
    <row r="885" spans="21:28" ht="13">
      <c r="U885" s="20"/>
      <c r="V885" s="20"/>
      <c r="AB885" s="21"/>
    </row>
    <row r="886" spans="21:28" ht="13">
      <c r="U886" s="20"/>
      <c r="V886" s="20"/>
      <c r="AB886" s="21"/>
    </row>
    <row r="887" spans="21:28" ht="13">
      <c r="U887" s="20"/>
      <c r="V887" s="20"/>
      <c r="AB887" s="21"/>
    </row>
    <row r="888" spans="21:28" ht="13">
      <c r="U888" s="20"/>
      <c r="V888" s="20"/>
      <c r="AB888" s="21"/>
    </row>
    <row r="889" spans="21:28" ht="13">
      <c r="U889" s="20"/>
      <c r="V889" s="20"/>
      <c r="AB889" s="21"/>
    </row>
    <row r="890" spans="21:28" ht="13">
      <c r="U890" s="20"/>
      <c r="V890" s="20"/>
      <c r="AB890" s="21"/>
    </row>
    <row r="891" spans="21:28" ht="13">
      <c r="U891" s="20"/>
      <c r="V891" s="20"/>
      <c r="AB891" s="21"/>
    </row>
    <row r="892" spans="21:28" ht="13">
      <c r="U892" s="20"/>
      <c r="V892" s="20"/>
      <c r="AB892" s="21"/>
    </row>
    <row r="893" spans="21:28" ht="13">
      <c r="U893" s="20"/>
      <c r="V893" s="20"/>
      <c r="AB893" s="21"/>
    </row>
    <row r="894" spans="21:28" ht="13">
      <c r="U894" s="20"/>
      <c r="V894" s="20"/>
      <c r="AB894" s="21"/>
    </row>
    <row r="895" spans="21:28" ht="13">
      <c r="U895" s="20"/>
      <c r="V895" s="20"/>
      <c r="AB895" s="21"/>
    </row>
    <row r="896" spans="21:28" ht="13">
      <c r="U896" s="20"/>
      <c r="V896" s="20"/>
      <c r="AB896" s="21"/>
    </row>
    <row r="897" spans="21:28" ht="13">
      <c r="U897" s="20"/>
      <c r="V897" s="20"/>
      <c r="AB897" s="21"/>
    </row>
    <row r="898" spans="21:28" ht="13">
      <c r="U898" s="20"/>
      <c r="V898" s="20"/>
      <c r="AB898" s="21"/>
    </row>
    <row r="899" spans="21:28" ht="13">
      <c r="U899" s="20"/>
      <c r="V899" s="20"/>
      <c r="AB899" s="21"/>
    </row>
    <row r="900" spans="21:28" ht="13">
      <c r="U900" s="20"/>
      <c r="V900" s="20"/>
      <c r="AB900" s="21"/>
    </row>
    <row r="901" spans="21:28" ht="13">
      <c r="U901" s="20"/>
      <c r="V901" s="20"/>
      <c r="AB901" s="21"/>
    </row>
    <row r="902" spans="21:28" ht="13">
      <c r="U902" s="20"/>
      <c r="V902" s="20"/>
      <c r="AB902" s="21"/>
    </row>
    <row r="903" spans="21:28" ht="13">
      <c r="U903" s="20"/>
      <c r="V903" s="20"/>
      <c r="AB903" s="21"/>
    </row>
    <row r="904" spans="21:28" ht="13">
      <c r="U904" s="20"/>
      <c r="V904" s="20"/>
      <c r="AB904" s="21"/>
    </row>
    <row r="905" spans="21:28" ht="13">
      <c r="U905" s="20"/>
      <c r="V905" s="20"/>
      <c r="AB905" s="21"/>
    </row>
    <row r="906" spans="21:28" ht="13">
      <c r="U906" s="20"/>
      <c r="V906" s="20"/>
      <c r="AB906" s="21"/>
    </row>
    <row r="907" spans="21:28" ht="13">
      <c r="U907" s="20"/>
      <c r="V907" s="20"/>
      <c r="AB907" s="21"/>
    </row>
    <row r="908" spans="21:28" ht="13">
      <c r="U908" s="20"/>
      <c r="V908" s="20"/>
      <c r="AB908" s="21"/>
    </row>
    <row r="909" spans="21:28" ht="13">
      <c r="U909" s="20"/>
      <c r="V909" s="20"/>
      <c r="AB909" s="21"/>
    </row>
    <row r="910" spans="21:28" ht="13">
      <c r="U910" s="20"/>
      <c r="V910" s="20"/>
      <c r="AB910" s="21"/>
    </row>
    <row r="911" spans="21:28" ht="13">
      <c r="U911" s="20"/>
      <c r="V911" s="20"/>
      <c r="AB911" s="21"/>
    </row>
    <row r="912" spans="21:28" ht="13">
      <c r="U912" s="20"/>
      <c r="V912" s="20"/>
      <c r="AB912" s="21"/>
    </row>
    <row r="913" spans="21:28" ht="13">
      <c r="U913" s="20"/>
      <c r="V913" s="20"/>
      <c r="AB913" s="21"/>
    </row>
    <row r="914" spans="21:28" ht="13">
      <c r="U914" s="20"/>
      <c r="V914" s="20"/>
      <c r="AB914" s="21"/>
    </row>
    <row r="915" spans="21:28" ht="13">
      <c r="U915" s="20"/>
      <c r="V915" s="20"/>
      <c r="AB915" s="21"/>
    </row>
    <row r="916" spans="21:28" ht="13">
      <c r="U916" s="20"/>
      <c r="V916" s="20"/>
      <c r="AB916" s="21"/>
    </row>
    <row r="917" spans="21:28" ht="13">
      <c r="U917" s="20"/>
      <c r="V917" s="20"/>
      <c r="AB917" s="21"/>
    </row>
    <row r="918" spans="21:28" ht="13">
      <c r="U918" s="20"/>
      <c r="V918" s="20"/>
      <c r="AB918" s="21"/>
    </row>
    <row r="919" spans="21:28" ht="13">
      <c r="U919" s="20"/>
      <c r="V919" s="20"/>
      <c r="AB919" s="21"/>
    </row>
  </sheetData>
  <sheetProtection algorithmName="SHA-512" hashValue="SjNa1nLxPptVuUaXMqCwB2mDVPBrSkkeiXioROPVFP6RqaJ1URMGBNioVpHeidK6fko7j6oN9OgV+EYpaC3Uxw==" saltValue="Cb4MFs2vongELG5rOaHFSg==" spinCount="100000" sheet="1" formatCells="0" formatColumns="0" formatRows="0" insertColumns="0" insertRows="0" insertHyperlinks="0" deleteColumns="0" deleteRows="0" sort="0" autoFilter="0" pivotTables="0"/>
  <autoFilter ref="A2:AC53" xr:uid="{00000000-0009-0000-0000-000000000000}">
    <sortState xmlns:xlrd2="http://schemas.microsoft.com/office/spreadsheetml/2017/richdata2" ref="A3:AC54">
      <sortCondition descending="1" ref="C2:C54"/>
    </sortState>
  </autoFilter>
  <mergeCells count="5">
    <mergeCell ref="I1:P1"/>
    <mergeCell ref="Q1:W1"/>
    <mergeCell ref="Y1:AB1"/>
    <mergeCell ref="AD1:AJ1"/>
    <mergeCell ref="AK1:AQ1"/>
  </mergeCells>
  <conditionalFormatting sqref="H3:H919">
    <cfRule type="cellIs" dxfId="0" priority="1" operator="equal">
      <formula>"CHECK"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4F82D-5CFC-3440-9451-3A27C4F82557}">
  <dimension ref="A1:AE72"/>
  <sheetViews>
    <sheetView tabSelected="1" topLeftCell="S1" zoomScale="262" workbookViewId="0">
      <selection activeCell="U8" sqref="U8"/>
    </sheetView>
  </sheetViews>
  <sheetFormatPr baseColWidth="10" defaultRowHeight="13"/>
  <sheetData>
    <row r="1" spans="1:31">
      <c r="A1" s="33"/>
      <c r="B1" s="33"/>
      <c r="C1" s="33"/>
      <c r="D1" s="33"/>
      <c r="E1" s="33"/>
      <c r="F1" s="33"/>
      <c r="G1" s="33"/>
      <c r="H1" s="63" t="s">
        <v>3</v>
      </c>
      <c r="I1" s="64"/>
      <c r="J1" s="64"/>
      <c r="K1" s="65" t="s">
        <v>254</v>
      </c>
      <c r="L1" s="65"/>
      <c r="M1" s="65"/>
      <c r="N1" s="65"/>
      <c r="O1" s="66"/>
      <c r="P1" s="66"/>
      <c r="Q1" s="66"/>
      <c r="R1" s="67" t="s">
        <v>178</v>
      </c>
      <c r="S1" s="67"/>
      <c r="T1" s="67"/>
      <c r="U1" s="67"/>
      <c r="V1" s="67"/>
      <c r="W1" s="67"/>
      <c r="X1" s="67"/>
      <c r="Y1" s="68" t="s">
        <v>255</v>
      </c>
      <c r="Z1" s="68"/>
      <c r="AA1" s="68"/>
      <c r="AB1" s="68"/>
      <c r="AC1" s="68"/>
      <c r="AD1" s="68"/>
      <c r="AE1" s="68"/>
    </row>
    <row r="2" spans="1:31">
      <c r="A2" s="33" t="s">
        <v>183</v>
      </c>
      <c r="B2" s="33" t="s">
        <v>184</v>
      </c>
      <c r="C2" s="33" t="s">
        <v>185</v>
      </c>
      <c r="D2" s="33" t="s">
        <v>186</v>
      </c>
      <c r="E2" s="33" t="s">
        <v>15</v>
      </c>
      <c r="F2" s="33" t="s">
        <v>16</v>
      </c>
      <c r="G2" s="34" t="s">
        <v>17</v>
      </c>
      <c r="H2" s="31" t="s">
        <v>187</v>
      </c>
      <c r="I2" s="31" t="s">
        <v>188</v>
      </c>
      <c r="J2" s="31" t="s">
        <v>189</v>
      </c>
      <c r="K2" s="32" t="s">
        <v>190</v>
      </c>
      <c r="L2" s="62" t="s">
        <v>256</v>
      </c>
      <c r="M2" s="62" t="s">
        <v>170</v>
      </c>
      <c r="N2" s="62" t="s">
        <v>273</v>
      </c>
      <c r="O2" s="32" t="s">
        <v>191</v>
      </c>
      <c r="P2" s="32" t="s">
        <v>192</v>
      </c>
      <c r="Q2" s="32" t="s">
        <v>193</v>
      </c>
      <c r="R2" s="29" t="s">
        <v>179</v>
      </c>
      <c r="S2" s="29" t="s">
        <v>180</v>
      </c>
      <c r="T2" s="29" t="s">
        <v>181</v>
      </c>
      <c r="U2" s="29" t="s">
        <v>274</v>
      </c>
      <c r="V2" s="29" t="s">
        <v>275</v>
      </c>
      <c r="W2" s="29" t="s">
        <v>276</v>
      </c>
      <c r="X2" s="29" t="s">
        <v>176</v>
      </c>
      <c r="Y2" s="35" t="s">
        <v>175</v>
      </c>
      <c r="Z2" s="35" t="s">
        <v>180</v>
      </c>
      <c r="AA2" s="35" t="s">
        <v>181</v>
      </c>
      <c r="AB2" s="35" t="s">
        <v>182</v>
      </c>
      <c r="AC2" s="35" t="s">
        <v>256</v>
      </c>
      <c r="AD2" s="35" t="s">
        <v>170</v>
      </c>
      <c r="AE2" s="35" t="s">
        <v>176</v>
      </c>
    </row>
    <row r="3" spans="1:31">
      <c r="A3" t="s">
        <v>194</v>
      </c>
      <c r="B3">
        <v>206</v>
      </c>
      <c r="C3">
        <v>557</v>
      </c>
      <c r="D3">
        <v>2.5999999999999999E-2</v>
      </c>
      <c r="E3">
        <v>2</v>
      </c>
      <c r="F3">
        <v>14</v>
      </c>
      <c r="G3">
        <f t="shared" ref="G3:G34" si="0">MIN(H3,K3,U3)</f>
        <v>4</v>
      </c>
      <c r="H3" t="s">
        <v>195</v>
      </c>
      <c r="I3">
        <v>36000</v>
      </c>
      <c r="J3" t="s">
        <v>195</v>
      </c>
      <c r="K3">
        <v>4</v>
      </c>
      <c r="L3">
        <v>4.3360000000000003</v>
      </c>
      <c r="M3">
        <v>5</v>
      </c>
      <c r="N3">
        <v>250</v>
      </c>
      <c r="O3">
        <v>52.37</v>
      </c>
      <c r="P3">
        <v>0.35</v>
      </c>
      <c r="Q3">
        <f t="shared" ref="Q3:Q34" si="1">(K3-G3)/G3</f>
        <v>0</v>
      </c>
      <c r="R3">
        <v>24</v>
      </c>
      <c r="S3">
        <v>3602.694</v>
      </c>
      <c r="T3">
        <v>152.405</v>
      </c>
      <c r="U3">
        <v>13</v>
      </c>
      <c r="V3">
        <v>13</v>
      </c>
      <c r="W3">
        <v>13</v>
      </c>
      <c r="X3">
        <f>(U3-G3)/G3</f>
        <v>2.25</v>
      </c>
      <c r="Y3">
        <v>5</v>
      </c>
      <c r="Z3">
        <v>9.4</v>
      </c>
      <c r="AA3">
        <v>7.33</v>
      </c>
      <c r="AB3">
        <v>10</v>
      </c>
      <c r="AC3">
        <v>12.6</v>
      </c>
      <c r="AD3">
        <v>14</v>
      </c>
      <c r="AE3">
        <f t="shared" ref="AE3:AE34" si="2">(AB3-G3)/G3</f>
        <v>1.5</v>
      </c>
    </row>
    <row r="4" spans="1:31">
      <c r="A4" t="s">
        <v>196</v>
      </c>
      <c r="B4">
        <v>216</v>
      </c>
      <c r="C4">
        <v>660</v>
      </c>
      <c r="D4">
        <v>2.8000000000000001E-2</v>
      </c>
      <c r="E4">
        <v>1</v>
      </c>
      <c r="F4">
        <v>14</v>
      </c>
      <c r="G4">
        <f t="shared" si="0"/>
        <v>3</v>
      </c>
      <c r="H4" t="s">
        <v>195</v>
      </c>
      <c r="I4">
        <v>36000</v>
      </c>
      <c r="J4" t="s">
        <v>195</v>
      </c>
      <c r="K4">
        <v>3</v>
      </c>
      <c r="L4">
        <v>4.1440000000000001</v>
      </c>
      <c r="M4">
        <v>5</v>
      </c>
      <c r="N4">
        <v>250</v>
      </c>
      <c r="O4">
        <v>46.48</v>
      </c>
      <c r="P4">
        <v>8.83</v>
      </c>
      <c r="Q4">
        <f t="shared" si="1"/>
        <v>0</v>
      </c>
      <c r="R4">
        <v>16</v>
      </c>
      <c r="S4">
        <v>3601.288</v>
      </c>
      <c r="T4">
        <v>223.82</v>
      </c>
      <c r="U4">
        <v>13</v>
      </c>
      <c r="V4">
        <v>13.13</v>
      </c>
      <c r="W4">
        <v>14</v>
      </c>
      <c r="X4">
        <f t="shared" ref="X4:X34" si="3">(U4-G4)/G4</f>
        <v>3.3333333333333335</v>
      </c>
      <c r="Y4">
        <v>5</v>
      </c>
      <c r="Z4">
        <v>11.04</v>
      </c>
      <c r="AA4">
        <v>11.04</v>
      </c>
      <c r="AB4">
        <v>11</v>
      </c>
      <c r="AC4">
        <v>12.4</v>
      </c>
      <c r="AD4">
        <v>13</v>
      </c>
      <c r="AE4">
        <f t="shared" si="2"/>
        <v>2.6666666666666665</v>
      </c>
    </row>
    <row r="5" spans="1:31">
      <c r="A5" t="s">
        <v>197</v>
      </c>
      <c r="B5">
        <v>225</v>
      </c>
      <c r="C5">
        <v>1187</v>
      </c>
      <c r="D5">
        <v>4.7E-2</v>
      </c>
      <c r="E5">
        <v>2</v>
      </c>
      <c r="F5">
        <v>14</v>
      </c>
      <c r="G5">
        <f t="shared" si="0"/>
        <v>5</v>
      </c>
      <c r="H5" t="s">
        <v>195</v>
      </c>
      <c r="I5">
        <v>36000</v>
      </c>
      <c r="J5" t="s">
        <v>195</v>
      </c>
      <c r="K5">
        <v>5</v>
      </c>
      <c r="L5">
        <v>5.9720000000000004</v>
      </c>
      <c r="M5">
        <v>7</v>
      </c>
      <c r="N5">
        <v>250</v>
      </c>
      <c r="O5">
        <v>150.76</v>
      </c>
      <c r="P5">
        <v>1.0900000000000001</v>
      </c>
      <c r="Q5">
        <f t="shared" si="1"/>
        <v>0</v>
      </c>
      <c r="R5">
        <v>18</v>
      </c>
      <c r="S5">
        <v>3600.0770000000002</v>
      </c>
      <c r="T5">
        <v>2E-3</v>
      </c>
      <c r="U5">
        <v>14</v>
      </c>
      <c r="V5">
        <v>14</v>
      </c>
      <c r="W5">
        <v>14</v>
      </c>
      <c r="X5">
        <f t="shared" si="3"/>
        <v>1.8</v>
      </c>
      <c r="Y5">
        <v>5</v>
      </c>
      <c r="Z5">
        <v>17.87</v>
      </c>
      <c r="AA5">
        <v>17.87</v>
      </c>
      <c r="AB5">
        <v>13</v>
      </c>
      <c r="AC5">
        <v>13.4</v>
      </c>
      <c r="AD5">
        <v>14</v>
      </c>
      <c r="AE5">
        <f t="shared" si="2"/>
        <v>1.6</v>
      </c>
    </row>
    <row r="6" spans="1:31">
      <c r="A6" t="s">
        <v>198</v>
      </c>
      <c r="B6">
        <v>238</v>
      </c>
      <c r="C6">
        <v>445</v>
      </c>
      <c r="D6">
        <v>1.6E-2</v>
      </c>
      <c r="E6">
        <v>1</v>
      </c>
      <c r="F6">
        <v>15</v>
      </c>
      <c r="G6">
        <f t="shared" si="0"/>
        <v>2</v>
      </c>
      <c r="H6" t="s">
        <v>195</v>
      </c>
      <c r="I6">
        <v>36000</v>
      </c>
      <c r="J6" t="s">
        <v>195</v>
      </c>
      <c r="K6">
        <v>2</v>
      </c>
      <c r="L6">
        <v>2.8519999999999999</v>
      </c>
      <c r="M6">
        <v>4</v>
      </c>
      <c r="N6">
        <v>250</v>
      </c>
      <c r="O6">
        <v>18.37</v>
      </c>
      <c r="P6">
        <v>0.13</v>
      </c>
      <c r="Q6">
        <f t="shared" si="1"/>
        <v>0</v>
      </c>
      <c r="R6">
        <v>14</v>
      </c>
      <c r="S6">
        <v>3600.1379999999999</v>
      </c>
      <c r="T6">
        <v>2230.0120000000002</v>
      </c>
      <c r="U6">
        <v>13</v>
      </c>
      <c r="V6">
        <v>13.86</v>
      </c>
      <c r="W6">
        <v>14</v>
      </c>
      <c r="X6">
        <f t="shared" si="3"/>
        <v>5.5</v>
      </c>
      <c r="Y6">
        <v>5</v>
      </c>
      <c r="Z6">
        <v>239.34</v>
      </c>
      <c r="AA6">
        <v>51.13</v>
      </c>
      <c r="AB6">
        <v>13</v>
      </c>
      <c r="AC6">
        <v>13.6</v>
      </c>
      <c r="AD6">
        <v>14</v>
      </c>
      <c r="AE6">
        <f t="shared" si="2"/>
        <v>5.5</v>
      </c>
    </row>
    <row r="7" spans="1:31">
      <c r="A7" t="s">
        <v>199</v>
      </c>
      <c r="B7">
        <v>240</v>
      </c>
      <c r="C7">
        <v>1761</v>
      </c>
      <c r="D7">
        <v>6.0999999999999999E-2</v>
      </c>
      <c r="E7">
        <v>2</v>
      </c>
      <c r="F7">
        <v>15</v>
      </c>
      <c r="G7">
        <f t="shared" si="0"/>
        <v>5</v>
      </c>
      <c r="H7" t="s">
        <v>195</v>
      </c>
      <c r="I7">
        <v>36000</v>
      </c>
      <c r="J7" t="s">
        <v>195</v>
      </c>
      <c r="K7">
        <v>5</v>
      </c>
      <c r="L7">
        <v>5.2679999999999998</v>
      </c>
      <c r="M7">
        <v>6</v>
      </c>
      <c r="N7">
        <v>250</v>
      </c>
      <c r="O7">
        <v>118.31</v>
      </c>
      <c r="P7">
        <v>0.43</v>
      </c>
      <c r="Q7">
        <f t="shared" si="1"/>
        <v>0</v>
      </c>
      <c r="R7">
        <v>14</v>
      </c>
      <c r="S7">
        <v>3600.6379999999999</v>
      </c>
      <c r="T7">
        <v>1773.527</v>
      </c>
      <c r="U7">
        <v>14</v>
      </c>
      <c r="V7">
        <v>15</v>
      </c>
      <c r="W7">
        <v>15</v>
      </c>
      <c r="X7">
        <f t="shared" si="3"/>
        <v>1.8</v>
      </c>
      <c r="Y7">
        <v>5</v>
      </c>
      <c r="Z7">
        <v>18000.009999999998</v>
      </c>
      <c r="AA7">
        <v>3600</v>
      </c>
      <c r="AB7">
        <v>15</v>
      </c>
      <c r="AC7">
        <v>15</v>
      </c>
      <c r="AD7">
        <v>15</v>
      </c>
      <c r="AE7">
        <f t="shared" si="2"/>
        <v>2</v>
      </c>
    </row>
    <row r="8" spans="1:31">
      <c r="A8" t="s">
        <v>200</v>
      </c>
      <c r="B8">
        <v>261</v>
      </c>
      <c r="C8">
        <v>794</v>
      </c>
      <c r="D8">
        <v>2.3E-2</v>
      </c>
      <c r="E8">
        <v>1</v>
      </c>
      <c r="F8">
        <v>16</v>
      </c>
      <c r="G8">
        <f t="shared" si="0"/>
        <v>3</v>
      </c>
      <c r="H8" t="s">
        <v>195</v>
      </c>
      <c r="I8">
        <v>36000</v>
      </c>
      <c r="J8" t="s">
        <v>195</v>
      </c>
      <c r="K8">
        <v>3</v>
      </c>
      <c r="L8">
        <v>3.94</v>
      </c>
      <c r="M8">
        <v>5</v>
      </c>
      <c r="N8">
        <v>250</v>
      </c>
      <c r="O8">
        <v>55.24</v>
      </c>
      <c r="P8">
        <v>4.83</v>
      </c>
      <c r="Q8">
        <f t="shared" si="1"/>
        <v>0</v>
      </c>
      <c r="R8">
        <v>9</v>
      </c>
      <c r="S8">
        <v>3602.4490000000001</v>
      </c>
      <c r="T8">
        <v>2596.9140000000002</v>
      </c>
      <c r="U8">
        <v>14</v>
      </c>
      <c r="V8">
        <v>14.89</v>
      </c>
      <c r="W8">
        <v>15</v>
      </c>
      <c r="X8">
        <f t="shared" si="3"/>
        <v>3.6666666666666665</v>
      </c>
      <c r="Y8">
        <v>5</v>
      </c>
      <c r="Z8">
        <v>3922.23</v>
      </c>
      <c r="AA8">
        <v>2378.1</v>
      </c>
      <c r="AB8">
        <v>14</v>
      </c>
      <c r="AC8">
        <v>14.8</v>
      </c>
      <c r="AD8">
        <v>15</v>
      </c>
      <c r="AE8">
        <f t="shared" si="2"/>
        <v>3.6666666666666665</v>
      </c>
    </row>
    <row r="9" spans="1:31">
      <c r="A9" t="s">
        <v>201</v>
      </c>
      <c r="B9">
        <v>292</v>
      </c>
      <c r="C9">
        <v>1124</v>
      </c>
      <c r="D9">
        <v>2.5999999999999999E-2</v>
      </c>
      <c r="E9">
        <v>2</v>
      </c>
      <c r="F9">
        <v>17</v>
      </c>
      <c r="G9">
        <f t="shared" si="0"/>
        <v>4</v>
      </c>
      <c r="H9" t="s">
        <v>195</v>
      </c>
      <c r="I9">
        <v>36000</v>
      </c>
      <c r="J9" t="s">
        <v>195</v>
      </c>
      <c r="K9">
        <v>4</v>
      </c>
      <c r="L9">
        <v>4.2960000000000003</v>
      </c>
      <c r="M9">
        <v>5</v>
      </c>
      <c r="N9">
        <v>250</v>
      </c>
      <c r="O9">
        <v>109.26</v>
      </c>
      <c r="P9">
        <v>0.37</v>
      </c>
      <c r="Q9">
        <f t="shared" si="1"/>
        <v>0</v>
      </c>
      <c r="R9">
        <v>5</v>
      </c>
      <c r="S9">
        <v>3606.7919999999999</v>
      </c>
      <c r="T9">
        <v>63.734000000000002</v>
      </c>
      <c r="U9">
        <v>16</v>
      </c>
      <c r="V9">
        <v>15.8</v>
      </c>
      <c r="W9">
        <v>16</v>
      </c>
      <c r="X9">
        <f t="shared" si="3"/>
        <v>3</v>
      </c>
      <c r="Y9">
        <v>5</v>
      </c>
      <c r="Z9">
        <v>11.28</v>
      </c>
      <c r="AA9">
        <v>4.57</v>
      </c>
      <c r="AB9">
        <v>17</v>
      </c>
      <c r="AC9">
        <v>17</v>
      </c>
      <c r="AD9">
        <v>17</v>
      </c>
      <c r="AE9">
        <f t="shared" si="2"/>
        <v>3.25</v>
      </c>
    </row>
    <row r="10" spans="1:31">
      <c r="A10" t="s">
        <v>202</v>
      </c>
      <c r="B10">
        <v>343</v>
      </c>
      <c r="C10">
        <v>1092</v>
      </c>
      <c r="D10">
        <v>1.9E-2</v>
      </c>
      <c r="E10">
        <v>1</v>
      </c>
      <c r="F10">
        <v>18</v>
      </c>
      <c r="G10">
        <f t="shared" si="0"/>
        <v>4</v>
      </c>
      <c r="H10" t="s">
        <v>195</v>
      </c>
      <c r="I10">
        <v>36000</v>
      </c>
      <c r="J10" t="s">
        <v>195</v>
      </c>
      <c r="K10">
        <v>4</v>
      </c>
      <c r="L10">
        <v>4.5519999999999996</v>
      </c>
      <c r="M10">
        <v>6</v>
      </c>
      <c r="N10">
        <v>250</v>
      </c>
      <c r="O10">
        <v>116.96</v>
      </c>
      <c r="P10">
        <v>0.48</v>
      </c>
      <c r="Q10">
        <f t="shared" si="1"/>
        <v>0</v>
      </c>
      <c r="R10">
        <v>4</v>
      </c>
      <c r="S10">
        <v>3614.7220000000002</v>
      </c>
      <c r="T10">
        <v>36.44</v>
      </c>
      <c r="U10">
        <v>17</v>
      </c>
      <c r="V10">
        <v>17</v>
      </c>
      <c r="W10">
        <v>17</v>
      </c>
      <c r="X10">
        <f t="shared" si="3"/>
        <v>3.25</v>
      </c>
      <c r="Y10">
        <v>5</v>
      </c>
      <c r="Z10">
        <v>10.18</v>
      </c>
      <c r="AA10">
        <v>8.18</v>
      </c>
      <c r="AB10">
        <v>18</v>
      </c>
      <c r="AC10">
        <v>18</v>
      </c>
      <c r="AD10">
        <v>18</v>
      </c>
      <c r="AE10">
        <f t="shared" si="2"/>
        <v>3.5</v>
      </c>
    </row>
    <row r="11" spans="1:31">
      <c r="A11" t="s">
        <v>157</v>
      </c>
      <c r="B11">
        <v>362</v>
      </c>
      <c r="C11">
        <v>2712</v>
      </c>
      <c r="D11">
        <v>4.2000000000000003E-2</v>
      </c>
      <c r="E11">
        <v>2</v>
      </c>
      <c r="F11">
        <v>19</v>
      </c>
      <c r="G11">
        <f t="shared" si="0"/>
        <v>4</v>
      </c>
      <c r="H11" t="s">
        <v>195</v>
      </c>
      <c r="I11">
        <v>36000</v>
      </c>
      <c r="J11" t="s">
        <v>195</v>
      </c>
      <c r="K11">
        <v>4</v>
      </c>
      <c r="L11">
        <v>4.5880000000000001</v>
      </c>
      <c r="M11">
        <v>6</v>
      </c>
      <c r="N11">
        <v>250</v>
      </c>
      <c r="O11">
        <v>220.91</v>
      </c>
      <c r="P11">
        <v>0.68</v>
      </c>
      <c r="Q11">
        <f t="shared" si="1"/>
        <v>0</v>
      </c>
      <c r="R11">
        <v>3</v>
      </c>
      <c r="S11">
        <v>3616.6849999999999</v>
      </c>
      <c r="T11">
        <v>5.0000000000000001E-3</v>
      </c>
      <c r="U11">
        <v>19</v>
      </c>
      <c r="V11">
        <v>19</v>
      </c>
      <c r="W11">
        <v>19</v>
      </c>
      <c r="X11">
        <f t="shared" si="3"/>
        <v>3.75</v>
      </c>
      <c r="Y11">
        <v>5</v>
      </c>
      <c r="Z11">
        <v>23.51</v>
      </c>
      <c r="AA11">
        <v>18.84</v>
      </c>
      <c r="AB11">
        <v>18</v>
      </c>
      <c r="AC11">
        <v>18</v>
      </c>
      <c r="AD11">
        <v>18</v>
      </c>
      <c r="AE11">
        <f t="shared" si="2"/>
        <v>3.5</v>
      </c>
    </row>
    <row r="12" spans="1:31">
      <c r="A12" t="s">
        <v>203</v>
      </c>
      <c r="B12">
        <v>362</v>
      </c>
      <c r="C12">
        <v>880</v>
      </c>
      <c r="D12">
        <v>1.2999999999999999E-2</v>
      </c>
      <c r="E12">
        <v>1</v>
      </c>
      <c r="F12">
        <v>19</v>
      </c>
      <c r="G12">
        <f t="shared" si="0"/>
        <v>2</v>
      </c>
      <c r="H12" t="s">
        <v>195</v>
      </c>
      <c r="I12">
        <v>36000</v>
      </c>
      <c r="J12" t="s">
        <v>195</v>
      </c>
      <c r="K12">
        <v>2</v>
      </c>
      <c r="L12">
        <v>3.2240000000000002</v>
      </c>
      <c r="M12">
        <v>4</v>
      </c>
      <c r="N12">
        <v>250</v>
      </c>
      <c r="O12">
        <v>50.76</v>
      </c>
      <c r="P12">
        <v>5.61</v>
      </c>
      <c r="Q12">
        <f t="shared" si="1"/>
        <v>0</v>
      </c>
      <c r="R12">
        <v>3</v>
      </c>
      <c r="S12">
        <v>3609.3409999999999</v>
      </c>
      <c r="T12">
        <v>5.9809999999999999</v>
      </c>
      <c r="U12">
        <v>18</v>
      </c>
      <c r="V12">
        <v>17.329999999999998</v>
      </c>
      <c r="W12">
        <v>18</v>
      </c>
      <c r="X12">
        <f t="shared" si="3"/>
        <v>8</v>
      </c>
      <c r="Y12">
        <v>5</v>
      </c>
      <c r="Z12">
        <v>7.56</v>
      </c>
      <c r="AA12">
        <v>6.02</v>
      </c>
      <c r="AB12">
        <v>18</v>
      </c>
      <c r="AC12">
        <v>18</v>
      </c>
      <c r="AD12">
        <v>18</v>
      </c>
      <c r="AE12">
        <f t="shared" si="2"/>
        <v>8</v>
      </c>
    </row>
    <row r="13" spans="1:31">
      <c r="A13" t="s">
        <v>204</v>
      </c>
      <c r="B13">
        <v>363</v>
      </c>
      <c r="C13">
        <v>2446</v>
      </c>
      <c r="D13">
        <v>3.6999999999999998E-2</v>
      </c>
      <c r="E13">
        <v>4</v>
      </c>
      <c r="F13">
        <v>19</v>
      </c>
      <c r="G13">
        <f t="shared" si="0"/>
        <v>9</v>
      </c>
      <c r="H13" t="s">
        <v>195</v>
      </c>
      <c r="I13">
        <v>36000</v>
      </c>
      <c r="J13" t="s">
        <v>195</v>
      </c>
      <c r="K13">
        <v>9</v>
      </c>
      <c r="L13">
        <v>8.6479999999999997</v>
      </c>
      <c r="M13">
        <v>10</v>
      </c>
      <c r="N13">
        <v>250</v>
      </c>
      <c r="O13">
        <v>423.73</v>
      </c>
      <c r="P13">
        <v>3.97</v>
      </c>
      <c r="Q13">
        <f t="shared" si="1"/>
        <v>0</v>
      </c>
      <c r="R13">
        <v>3</v>
      </c>
      <c r="S13">
        <v>3601.3589999999999</v>
      </c>
      <c r="T13">
        <v>1246.134</v>
      </c>
      <c r="U13">
        <v>18</v>
      </c>
      <c r="V13">
        <v>18.670000000000002</v>
      </c>
      <c r="W13">
        <v>19</v>
      </c>
      <c r="X13">
        <f t="shared" si="3"/>
        <v>1</v>
      </c>
      <c r="Y13">
        <v>5</v>
      </c>
      <c r="Z13">
        <v>22.41</v>
      </c>
      <c r="AA13">
        <v>13.5</v>
      </c>
      <c r="AB13">
        <v>18</v>
      </c>
      <c r="AC13">
        <v>18.399999999999999</v>
      </c>
      <c r="AD13">
        <v>19</v>
      </c>
      <c r="AE13">
        <f t="shared" si="2"/>
        <v>1</v>
      </c>
    </row>
    <row r="14" spans="1:31">
      <c r="A14" t="s">
        <v>205</v>
      </c>
      <c r="B14">
        <v>363</v>
      </c>
      <c r="C14">
        <v>3049</v>
      </c>
      <c r="D14">
        <v>4.5999999999999999E-2</v>
      </c>
      <c r="E14">
        <v>4</v>
      </c>
      <c r="F14">
        <v>19</v>
      </c>
      <c r="G14">
        <f t="shared" si="0"/>
        <v>9</v>
      </c>
      <c r="H14" t="s">
        <v>195</v>
      </c>
      <c r="I14">
        <v>36000</v>
      </c>
      <c r="J14" t="s">
        <v>195</v>
      </c>
      <c r="K14">
        <v>9</v>
      </c>
      <c r="L14">
        <v>9.0889000000000006</v>
      </c>
      <c r="M14">
        <v>10</v>
      </c>
      <c r="N14">
        <v>90</v>
      </c>
      <c r="O14">
        <v>1303.48</v>
      </c>
      <c r="P14">
        <v>3.81</v>
      </c>
      <c r="Q14">
        <f t="shared" si="1"/>
        <v>0</v>
      </c>
      <c r="R14">
        <v>3</v>
      </c>
      <c r="S14">
        <v>3610.5810000000001</v>
      </c>
      <c r="T14">
        <v>5.0000000000000001E-3</v>
      </c>
      <c r="U14">
        <v>19</v>
      </c>
      <c r="V14">
        <v>19</v>
      </c>
      <c r="W14">
        <v>19</v>
      </c>
      <c r="X14">
        <f t="shared" si="3"/>
        <v>1.1111111111111112</v>
      </c>
      <c r="Y14">
        <v>5</v>
      </c>
      <c r="Z14">
        <v>28.11</v>
      </c>
      <c r="AA14">
        <v>11.16</v>
      </c>
      <c r="AB14">
        <v>19</v>
      </c>
      <c r="AC14">
        <v>19</v>
      </c>
      <c r="AD14">
        <v>19</v>
      </c>
      <c r="AE14">
        <f t="shared" si="2"/>
        <v>1.1111111111111112</v>
      </c>
    </row>
    <row r="15" spans="1:31">
      <c r="A15" t="s">
        <v>206</v>
      </c>
      <c r="B15">
        <v>363</v>
      </c>
      <c r="C15">
        <v>3244</v>
      </c>
      <c r="D15">
        <v>4.9000000000000002E-2</v>
      </c>
      <c r="E15">
        <v>4</v>
      </c>
      <c r="F15">
        <v>19</v>
      </c>
      <c r="G15">
        <f t="shared" si="0"/>
        <v>8</v>
      </c>
      <c r="H15" t="s">
        <v>195</v>
      </c>
      <c r="I15">
        <v>36000</v>
      </c>
      <c r="J15" t="s">
        <v>195</v>
      </c>
      <c r="K15">
        <v>8</v>
      </c>
      <c r="L15">
        <v>9.3079999999999998</v>
      </c>
      <c r="M15">
        <v>10</v>
      </c>
      <c r="N15">
        <v>250</v>
      </c>
      <c r="O15">
        <v>925.49</v>
      </c>
      <c r="P15">
        <v>23.22</v>
      </c>
      <c r="Q15">
        <f t="shared" si="1"/>
        <v>0</v>
      </c>
      <c r="R15">
        <v>3</v>
      </c>
      <c r="S15">
        <v>3607.942</v>
      </c>
      <c r="T15">
        <v>5.0000000000000001E-3</v>
      </c>
      <c r="U15">
        <v>19</v>
      </c>
      <c r="V15">
        <v>19</v>
      </c>
      <c r="W15">
        <v>19</v>
      </c>
      <c r="X15">
        <f t="shared" si="3"/>
        <v>1.375</v>
      </c>
      <c r="Y15">
        <v>5</v>
      </c>
      <c r="Z15">
        <v>30.57</v>
      </c>
      <c r="AA15">
        <v>18.25</v>
      </c>
      <c r="AB15">
        <v>19</v>
      </c>
      <c r="AC15">
        <v>19</v>
      </c>
      <c r="AD15">
        <v>19</v>
      </c>
      <c r="AE15">
        <f t="shared" si="2"/>
        <v>1.375</v>
      </c>
    </row>
    <row r="16" spans="1:31">
      <c r="A16" t="s">
        <v>207</v>
      </c>
      <c r="B16">
        <v>381</v>
      </c>
      <c r="C16">
        <v>2150</v>
      </c>
      <c r="D16">
        <v>0.03</v>
      </c>
      <c r="E16">
        <v>5</v>
      </c>
      <c r="F16">
        <v>19</v>
      </c>
      <c r="G16">
        <f t="shared" si="0"/>
        <v>9</v>
      </c>
      <c r="H16" t="s">
        <v>195</v>
      </c>
      <c r="I16">
        <v>36000</v>
      </c>
      <c r="J16" t="s">
        <v>195</v>
      </c>
      <c r="K16">
        <v>9</v>
      </c>
      <c r="L16">
        <v>9.9640000000000004</v>
      </c>
      <c r="M16">
        <v>10</v>
      </c>
      <c r="N16">
        <v>250</v>
      </c>
      <c r="O16">
        <v>1014.95</v>
      </c>
      <c r="P16">
        <v>207.07</v>
      </c>
      <c r="Q16">
        <f t="shared" si="1"/>
        <v>0</v>
      </c>
      <c r="R16">
        <v>2</v>
      </c>
      <c r="S16">
        <v>3612.125</v>
      </c>
      <c r="T16">
        <v>5.0000000000000001E-3</v>
      </c>
      <c r="U16">
        <v>19</v>
      </c>
      <c r="V16">
        <v>18</v>
      </c>
      <c r="W16">
        <v>18</v>
      </c>
      <c r="X16">
        <f t="shared" si="3"/>
        <v>1.1111111111111112</v>
      </c>
      <c r="Y16">
        <v>5</v>
      </c>
      <c r="Z16">
        <v>20.45</v>
      </c>
      <c r="AA16">
        <v>8.09</v>
      </c>
      <c r="AB16">
        <v>18</v>
      </c>
      <c r="AC16">
        <v>18.8</v>
      </c>
      <c r="AD16">
        <v>19</v>
      </c>
      <c r="AE16">
        <f t="shared" si="2"/>
        <v>1</v>
      </c>
    </row>
    <row r="17" spans="1:31">
      <c r="A17" t="s">
        <v>208</v>
      </c>
      <c r="B17">
        <v>419</v>
      </c>
      <c r="C17">
        <v>1572</v>
      </c>
      <c r="D17">
        <v>1.7999999999999999E-2</v>
      </c>
      <c r="E17">
        <v>1</v>
      </c>
      <c r="F17">
        <v>20</v>
      </c>
      <c r="G17">
        <f t="shared" si="0"/>
        <v>4</v>
      </c>
      <c r="H17" t="s">
        <v>195</v>
      </c>
      <c r="I17">
        <v>36000</v>
      </c>
      <c r="J17" t="s">
        <v>195</v>
      </c>
      <c r="K17">
        <v>4</v>
      </c>
      <c r="L17">
        <v>4.2679999999999998</v>
      </c>
      <c r="M17">
        <v>6</v>
      </c>
      <c r="N17">
        <v>250</v>
      </c>
      <c r="O17">
        <v>154.06</v>
      </c>
      <c r="P17">
        <v>0.53</v>
      </c>
      <c r="Q17">
        <f t="shared" si="1"/>
        <v>0</v>
      </c>
      <c r="R17">
        <v>2</v>
      </c>
      <c r="S17">
        <v>3603.05</v>
      </c>
      <c r="T17">
        <v>42.183</v>
      </c>
      <c r="U17">
        <v>19</v>
      </c>
      <c r="V17">
        <v>19</v>
      </c>
      <c r="W17">
        <v>19</v>
      </c>
      <c r="X17">
        <f t="shared" si="3"/>
        <v>3.75</v>
      </c>
      <c r="Y17">
        <v>5</v>
      </c>
      <c r="Z17">
        <v>18000.009999999998</v>
      </c>
      <c r="AA17">
        <v>3600</v>
      </c>
      <c r="AB17">
        <v>19</v>
      </c>
      <c r="AC17">
        <v>19</v>
      </c>
      <c r="AD17">
        <v>19</v>
      </c>
      <c r="AE17">
        <f t="shared" si="2"/>
        <v>3.75</v>
      </c>
    </row>
    <row r="18" spans="1:31">
      <c r="A18" t="s">
        <v>209</v>
      </c>
      <c r="B18">
        <v>420</v>
      </c>
      <c r="C18">
        <v>3720</v>
      </c>
      <c r="D18">
        <v>4.2000000000000003E-2</v>
      </c>
      <c r="E18">
        <v>2</v>
      </c>
      <c r="F18">
        <v>20</v>
      </c>
      <c r="G18">
        <f t="shared" si="0"/>
        <v>5</v>
      </c>
      <c r="H18" t="s">
        <v>195</v>
      </c>
      <c r="I18">
        <v>36000</v>
      </c>
      <c r="J18" t="s">
        <v>195</v>
      </c>
      <c r="K18">
        <v>5</v>
      </c>
      <c r="L18">
        <v>5.2759999999999998</v>
      </c>
      <c r="M18">
        <v>6</v>
      </c>
      <c r="N18">
        <v>250</v>
      </c>
      <c r="O18">
        <v>478.63</v>
      </c>
      <c r="P18">
        <v>3.31</v>
      </c>
      <c r="Q18">
        <f t="shared" si="1"/>
        <v>0</v>
      </c>
      <c r="R18">
        <v>2</v>
      </c>
      <c r="S18">
        <v>3630.2069999999999</v>
      </c>
      <c r="T18">
        <v>6.0000000000000001E-3</v>
      </c>
      <c r="U18">
        <v>20</v>
      </c>
      <c r="V18">
        <v>20</v>
      </c>
      <c r="W18">
        <v>20</v>
      </c>
      <c r="X18">
        <f t="shared" si="3"/>
        <v>3</v>
      </c>
      <c r="Y18">
        <v>5</v>
      </c>
      <c r="Z18">
        <v>18000.009999999998</v>
      </c>
      <c r="AA18">
        <v>3600</v>
      </c>
      <c r="AB18">
        <v>20</v>
      </c>
      <c r="AC18">
        <v>20</v>
      </c>
      <c r="AD18">
        <v>20</v>
      </c>
      <c r="AE18">
        <f t="shared" si="2"/>
        <v>3</v>
      </c>
    </row>
    <row r="19" spans="1:31">
      <c r="A19" t="s">
        <v>210</v>
      </c>
      <c r="B19">
        <v>420</v>
      </c>
      <c r="C19">
        <v>3416</v>
      </c>
      <c r="D19">
        <v>3.9E-2</v>
      </c>
      <c r="E19">
        <v>2</v>
      </c>
      <c r="F19">
        <v>20</v>
      </c>
      <c r="G19">
        <f t="shared" si="0"/>
        <v>5</v>
      </c>
      <c r="H19" t="s">
        <v>195</v>
      </c>
      <c r="I19">
        <v>36000</v>
      </c>
      <c r="J19" t="s">
        <v>195</v>
      </c>
      <c r="K19">
        <v>5</v>
      </c>
      <c r="L19">
        <v>5.1680000000000001</v>
      </c>
      <c r="M19">
        <v>6</v>
      </c>
      <c r="N19">
        <v>250</v>
      </c>
      <c r="O19">
        <v>401.05</v>
      </c>
      <c r="P19">
        <v>3.19</v>
      </c>
      <c r="Q19">
        <f t="shared" si="1"/>
        <v>0</v>
      </c>
      <c r="R19">
        <v>2</v>
      </c>
      <c r="S19">
        <v>3616.1489999999999</v>
      </c>
      <c r="T19">
        <v>6.0000000000000001E-3</v>
      </c>
      <c r="U19">
        <v>20</v>
      </c>
      <c r="V19">
        <v>20</v>
      </c>
      <c r="W19">
        <v>20</v>
      </c>
      <c r="X19">
        <f t="shared" si="3"/>
        <v>3</v>
      </c>
      <c r="Y19">
        <v>5</v>
      </c>
      <c r="Z19">
        <v>18000.009999999998</v>
      </c>
      <c r="AA19">
        <v>3600</v>
      </c>
      <c r="AB19">
        <v>20</v>
      </c>
      <c r="AC19">
        <v>20</v>
      </c>
      <c r="AD19">
        <v>20</v>
      </c>
      <c r="AE19">
        <f t="shared" si="2"/>
        <v>3</v>
      </c>
    </row>
    <row r="20" spans="1:31">
      <c r="A20" t="s">
        <v>211</v>
      </c>
      <c r="B20">
        <v>425</v>
      </c>
      <c r="C20">
        <v>1267</v>
      </c>
      <c r="D20">
        <v>1.4E-2</v>
      </c>
      <c r="E20">
        <v>2</v>
      </c>
      <c r="F20">
        <v>20</v>
      </c>
      <c r="G20">
        <f t="shared" si="0"/>
        <v>4</v>
      </c>
      <c r="H20" t="s">
        <v>195</v>
      </c>
      <c r="I20">
        <v>36000</v>
      </c>
      <c r="J20" t="s">
        <v>195</v>
      </c>
      <c r="K20">
        <v>4</v>
      </c>
      <c r="L20">
        <v>4.992</v>
      </c>
      <c r="M20">
        <v>6</v>
      </c>
      <c r="N20">
        <v>250</v>
      </c>
      <c r="O20">
        <v>173.22</v>
      </c>
      <c r="P20">
        <v>34.21</v>
      </c>
      <c r="Q20">
        <f t="shared" si="1"/>
        <v>0</v>
      </c>
      <c r="R20">
        <v>2</v>
      </c>
      <c r="S20">
        <v>3606.6129999999998</v>
      </c>
      <c r="T20">
        <v>363.113</v>
      </c>
      <c r="U20">
        <v>19</v>
      </c>
      <c r="V20">
        <v>19</v>
      </c>
      <c r="W20">
        <v>19</v>
      </c>
      <c r="X20">
        <f t="shared" si="3"/>
        <v>3.75</v>
      </c>
      <c r="Y20">
        <v>5</v>
      </c>
      <c r="Z20">
        <v>13264.14</v>
      </c>
      <c r="AA20">
        <v>2850.81</v>
      </c>
      <c r="AB20">
        <v>18</v>
      </c>
      <c r="AC20">
        <v>18.8</v>
      </c>
      <c r="AD20">
        <v>19</v>
      </c>
      <c r="AE20">
        <f t="shared" si="2"/>
        <v>3.5</v>
      </c>
    </row>
    <row r="21" spans="1:31">
      <c r="A21" t="s">
        <v>212</v>
      </c>
      <c r="B21">
        <v>434</v>
      </c>
      <c r="C21">
        <v>2138</v>
      </c>
      <c r="D21">
        <v>2.3E-2</v>
      </c>
      <c r="E21">
        <v>2</v>
      </c>
      <c r="F21">
        <v>20</v>
      </c>
      <c r="G21">
        <f t="shared" si="0"/>
        <v>5</v>
      </c>
      <c r="H21" t="s">
        <v>195</v>
      </c>
      <c r="I21">
        <v>36000</v>
      </c>
      <c r="J21" t="s">
        <v>195</v>
      </c>
      <c r="K21">
        <v>5</v>
      </c>
      <c r="L21">
        <v>5.3319999999999999</v>
      </c>
      <c r="M21">
        <v>6</v>
      </c>
      <c r="N21">
        <v>250</v>
      </c>
      <c r="O21">
        <v>319.14999999999998</v>
      </c>
      <c r="P21">
        <v>1.0900000000000001</v>
      </c>
      <c r="Q21">
        <f t="shared" si="1"/>
        <v>0</v>
      </c>
      <c r="R21">
        <v>2</v>
      </c>
      <c r="S21">
        <v>3654.8739999999998</v>
      </c>
      <c r="T21">
        <v>6.0000000000000001E-3</v>
      </c>
      <c r="U21">
        <v>20</v>
      </c>
      <c r="V21">
        <v>20</v>
      </c>
      <c r="W21">
        <v>20</v>
      </c>
      <c r="X21">
        <f t="shared" si="3"/>
        <v>3</v>
      </c>
      <c r="Y21">
        <v>5</v>
      </c>
      <c r="Z21">
        <v>18000.009999999998</v>
      </c>
      <c r="AA21">
        <v>3600</v>
      </c>
      <c r="AB21">
        <v>19</v>
      </c>
      <c r="AC21">
        <v>19</v>
      </c>
      <c r="AD21">
        <v>19</v>
      </c>
      <c r="AE21">
        <f t="shared" si="2"/>
        <v>2.8</v>
      </c>
    </row>
    <row r="22" spans="1:31">
      <c r="A22" t="s">
        <v>213</v>
      </c>
      <c r="B22">
        <v>445</v>
      </c>
      <c r="C22">
        <v>1682</v>
      </c>
      <c r="D22">
        <v>1.7000000000000001E-2</v>
      </c>
      <c r="E22">
        <v>2</v>
      </c>
      <c r="F22">
        <v>21</v>
      </c>
      <c r="G22">
        <f t="shared" si="0"/>
        <v>4</v>
      </c>
      <c r="H22" t="s">
        <v>195</v>
      </c>
      <c r="I22">
        <v>36000</v>
      </c>
      <c r="J22" t="s">
        <v>195</v>
      </c>
      <c r="K22">
        <v>4</v>
      </c>
      <c r="L22">
        <v>5.0599999999999996</v>
      </c>
      <c r="M22">
        <v>6</v>
      </c>
      <c r="N22">
        <v>250</v>
      </c>
      <c r="O22">
        <v>275</v>
      </c>
      <c r="P22">
        <v>3.98</v>
      </c>
      <c r="Q22">
        <f t="shared" si="1"/>
        <v>0</v>
      </c>
      <c r="R22">
        <v>1</v>
      </c>
      <c r="S22">
        <v>3603.2249999999999</v>
      </c>
      <c r="T22">
        <v>258.69900000000001</v>
      </c>
      <c r="U22">
        <v>20</v>
      </c>
      <c r="V22">
        <v>20</v>
      </c>
      <c r="W22">
        <v>20</v>
      </c>
      <c r="X22">
        <f t="shared" si="3"/>
        <v>4</v>
      </c>
      <c r="Y22">
        <v>5</v>
      </c>
      <c r="Z22">
        <v>18000.009999999998</v>
      </c>
      <c r="AA22">
        <v>3600</v>
      </c>
      <c r="AB22">
        <v>20</v>
      </c>
      <c r="AC22">
        <v>20</v>
      </c>
      <c r="AD22">
        <v>20</v>
      </c>
      <c r="AE22">
        <f t="shared" si="2"/>
        <v>4</v>
      </c>
    </row>
    <row r="23" spans="1:31">
      <c r="A23" t="s">
        <v>214</v>
      </c>
      <c r="B23">
        <v>456</v>
      </c>
      <c r="C23">
        <v>1769</v>
      </c>
      <c r="D23">
        <v>1.7000000000000001E-2</v>
      </c>
      <c r="E23">
        <v>1</v>
      </c>
      <c r="F23">
        <v>21</v>
      </c>
      <c r="G23">
        <f t="shared" si="0"/>
        <v>3</v>
      </c>
      <c r="H23" t="s">
        <v>195</v>
      </c>
      <c r="I23">
        <v>36000</v>
      </c>
      <c r="J23" t="s">
        <v>195</v>
      </c>
      <c r="K23">
        <v>3</v>
      </c>
      <c r="L23">
        <v>3.988</v>
      </c>
      <c r="M23">
        <v>5</v>
      </c>
      <c r="N23">
        <v>250</v>
      </c>
      <c r="O23">
        <v>125.9</v>
      </c>
      <c r="P23">
        <v>9.68</v>
      </c>
      <c r="Q23">
        <f t="shared" si="1"/>
        <v>0</v>
      </c>
      <c r="R23">
        <v>2</v>
      </c>
      <c r="S23">
        <v>3612.9340000000002</v>
      </c>
      <c r="T23">
        <v>65.072000000000003</v>
      </c>
      <c r="U23">
        <v>20</v>
      </c>
      <c r="V23">
        <v>20.5</v>
      </c>
      <c r="W23">
        <v>21</v>
      </c>
      <c r="X23">
        <f t="shared" si="3"/>
        <v>5.666666666666667</v>
      </c>
      <c r="Y23">
        <v>5</v>
      </c>
      <c r="Z23">
        <v>18000.009999999998</v>
      </c>
      <c r="AA23">
        <v>3600</v>
      </c>
      <c r="AB23">
        <v>20</v>
      </c>
      <c r="AC23">
        <v>20</v>
      </c>
      <c r="AD23">
        <v>20</v>
      </c>
      <c r="AE23">
        <f t="shared" si="2"/>
        <v>5.666666666666667</v>
      </c>
    </row>
    <row r="24" spans="1:31">
      <c r="A24" t="s">
        <v>215</v>
      </c>
      <c r="B24">
        <v>468</v>
      </c>
      <c r="C24">
        <v>2352</v>
      </c>
      <c r="D24">
        <v>2.1999999999999999E-2</v>
      </c>
      <c r="E24">
        <v>2</v>
      </c>
      <c r="F24">
        <v>21</v>
      </c>
      <c r="G24">
        <f t="shared" si="0"/>
        <v>6</v>
      </c>
      <c r="H24" t="s">
        <v>195</v>
      </c>
      <c r="I24">
        <v>36000</v>
      </c>
      <c r="J24" t="s">
        <v>195</v>
      </c>
      <c r="K24">
        <v>6</v>
      </c>
      <c r="L24">
        <v>6.9480000000000004</v>
      </c>
      <c r="M24">
        <v>9</v>
      </c>
      <c r="N24">
        <v>250</v>
      </c>
      <c r="O24">
        <v>636.17999999999995</v>
      </c>
      <c r="P24">
        <v>2.63</v>
      </c>
      <c r="Q24">
        <f t="shared" si="1"/>
        <v>0</v>
      </c>
      <c r="R24">
        <v>2</v>
      </c>
      <c r="S24">
        <v>3609.7910000000002</v>
      </c>
      <c r="T24">
        <v>7.0000000000000001E-3</v>
      </c>
      <c r="U24">
        <v>21</v>
      </c>
      <c r="V24">
        <v>21</v>
      </c>
      <c r="W24">
        <v>21</v>
      </c>
      <c r="X24">
        <f t="shared" si="3"/>
        <v>2.5</v>
      </c>
      <c r="Y24">
        <v>5</v>
      </c>
      <c r="Z24">
        <v>18000.009999999998</v>
      </c>
      <c r="AA24">
        <v>3600</v>
      </c>
      <c r="AB24">
        <v>20</v>
      </c>
      <c r="AC24">
        <v>20.399999999999999</v>
      </c>
      <c r="AD24">
        <v>21</v>
      </c>
      <c r="AE24">
        <f t="shared" si="2"/>
        <v>2.3333333333333335</v>
      </c>
    </row>
    <row r="25" spans="1:31">
      <c r="A25" t="s">
        <v>216</v>
      </c>
      <c r="B25">
        <v>479</v>
      </c>
      <c r="C25">
        <v>1889</v>
      </c>
      <c r="D25">
        <v>1.7000000000000001E-2</v>
      </c>
      <c r="E25">
        <v>3</v>
      </c>
      <c r="F25">
        <v>21</v>
      </c>
      <c r="G25">
        <f t="shared" si="0"/>
        <v>8</v>
      </c>
      <c r="H25" t="s">
        <v>195</v>
      </c>
      <c r="I25">
        <v>36000</v>
      </c>
      <c r="J25" t="s">
        <v>195</v>
      </c>
      <c r="K25">
        <v>8</v>
      </c>
      <c r="L25">
        <v>8.6199999999999992</v>
      </c>
      <c r="M25">
        <v>9</v>
      </c>
      <c r="N25">
        <v>250</v>
      </c>
      <c r="O25">
        <v>921.19</v>
      </c>
      <c r="P25">
        <v>8.27</v>
      </c>
      <c r="Q25">
        <f t="shared" si="1"/>
        <v>0</v>
      </c>
      <c r="R25">
        <v>2</v>
      </c>
      <c r="S25">
        <v>3616.9830000000002</v>
      </c>
      <c r="T25">
        <v>7.0000000000000001E-3</v>
      </c>
      <c r="U25">
        <v>21</v>
      </c>
      <c r="V25">
        <v>21</v>
      </c>
      <c r="W25">
        <v>21</v>
      </c>
      <c r="X25">
        <f t="shared" si="3"/>
        <v>1.625</v>
      </c>
      <c r="Y25">
        <v>5</v>
      </c>
      <c r="Z25">
        <v>18000.009999999998</v>
      </c>
      <c r="AA25">
        <v>3600</v>
      </c>
      <c r="AB25">
        <v>20</v>
      </c>
      <c r="AC25">
        <v>20</v>
      </c>
      <c r="AD25">
        <v>20</v>
      </c>
      <c r="AE25">
        <f t="shared" si="2"/>
        <v>1.5</v>
      </c>
    </row>
    <row r="26" spans="1:31">
      <c r="A26" t="s">
        <v>217</v>
      </c>
      <c r="B26">
        <v>487</v>
      </c>
      <c r="C26">
        <v>41686</v>
      </c>
      <c r="D26">
        <v>0.35199999999999998</v>
      </c>
      <c r="E26">
        <v>8</v>
      </c>
      <c r="F26">
        <v>22</v>
      </c>
      <c r="G26">
        <f t="shared" si="0"/>
        <v>15</v>
      </c>
      <c r="H26" t="s">
        <v>195</v>
      </c>
      <c r="I26">
        <v>36000</v>
      </c>
      <c r="J26" t="s">
        <v>195</v>
      </c>
      <c r="K26">
        <v>15</v>
      </c>
      <c r="L26">
        <v>15.744</v>
      </c>
      <c r="M26">
        <v>16</v>
      </c>
      <c r="N26">
        <v>250</v>
      </c>
      <c r="O26">
        <v>39094.71</v>
      </c>
      <c r="P26">
        <v>1925.8</v>
      </c>
      <c r="Q26">
        <f t="shared" si="1"/>
        <v>0</v>
      </c>
      <c r="R26">
        <v>1</v>
      </c>
      <c r="S26">
        <v>3619.1990000000001</v>
      </c>
      <c r="T26">
        <v>2.4E-2</v>
      </c>
      <c r="U26">
        <v>22</v>
      </c>
      <c r="V26">
        <v>22</v>
      </c>
      <c r="W26">
        <v>22</v>
      </c>
      <c r="X26">
        <f t="shared" si="3"/>
        <v>0.46666666666666667</v>
      </c>
      <c r="Y26">
        <v>5</v>
      </c>
      <c r="Z26">
        <v>563.88</v>
      </c>
      <c r="AA26">
        <v>457.52</v>
      </c>
      <c r="AB26">
        <v>22</v>
      </c>
      <c r="AC26">
        <v>22</v>
      </c>
      <c r="AD26">
        <v>22</v>
      </c>
      <c r="AE26">
        <f t="shared" si="2"/>
        <v>0.46666666666666667</v>
      </c>
    </row>
    <row r="27" spans="1:31">
      <c r="A27" t="s">
        <v>218</v>
      </c>
      <c r="B27">
        <v>487</v>
      </c>
      <c r="C27">
        <v>41686</v>
      </c>
      <c r="D27">
        <v>0.35199999999999998</v>
      </c>
      <c r="E27">
        <v>8</v>
      </c>
      <c r="F27">
        <v>22</v>
      </c>
      <c r="G27">
        <f t="shared" si="0"/>
        <v>15</v>
      </c>
      <c r="H27" t="s">
        <v>195</v>
      </c>
      <c r="I27">
        <v>36000</v>
      </c>
      <c r="J27" t="s">
        <v>195</v>
      </c>
      <c r="K27">
        <v>15</v>
      </c>
      <c r="L27">
        <v>15.744</v>
      </c>
      <c r="M27">
        <v>16</v>
      </c>
      <c r="N27">
        <v>250</v>
      </c>
      <c r="O27">
        <v>39353.760000000002</v>
      </c>
      <c r="P27">
        <v>1847.95</v>
      </c>
      <c r="Q27">
        <f t="shared" si="1"/>
        <v>0</v>
      </c>
      <c r="R27">
        <v>1</v>
      </c>
      <c r="S27">
        <v>3607.2179999999998</v>
      </c>
      <c r="T27">
        <v>2.4E-2</v>
      </c>
      <c r="U27">
        <v>22</v>
      </c>
      <c r="V27">
        <v>22</v>
      </c>
      <c r="W27">
        <v>22</v>
      </c>
      <c r="X27">
        <f t="shared" si="3"/>
        <v>0.46666666666666667</v>
      </c>
      <c r="Y27">
        <v>5</v>
      </c>
      <c r="Z27">
        <v>571.85</v>
      </c>
      <c r="AA27">
        <v>461.3</v>
      </c>
      <c r="AB27">
        <v>22</v>
      </c>
      <c r="AC27">
        <v>22</v>
      </c>
      <c r="AD27">
        <v>22</v>
      </c>
      <c r="AE27">
        <f t="shared" si="2"/>
        <v>0.46666666666666667</v>
      </c>
    </row>
    <row r="28" spans="1:31">
      <c r="A28" t="s">
        <v>219</v>
      </c>
      <c r="B28">
        <v>492</v>
      </c>
      <c r="C28">
        <v>36209</v>
      </c>
      <c r="D28">
        <v>0.3</v>
      </c>
      <c r="E28">
        <v>8</v>
      </c>
      <c r="F28">
        <v>22</v>
      </c>
      <c r="G28">
        <f t="shared" si="0"/>
        <v>14</v>
      </c>
      <c r="H28" t="s">
        <v>195</v>
      </c>
      <c r="I28">
        <v>36000</v>
      </c>
      <c r="J28" t="s">
        <v>195</v>
      </c>
      <c r="K28">
        <v>14</v>
      </c>
      <c r="L28">
        <v>15.004</v>
      </c>
      <c r="M28">
        <v>16</v>
      </c>
      <c r="N28">
        <v>250</v>
      </c>
      <c r="O28">
        <v>34858.43</v>
      </c>
      <c r="P28">
        <v>10849.91</v>
      </c>
      <c r="Q28">
        <f t="shared" si="1"/>
        <v>0</v>
      </c>
      <c r="R28">
        <v>1</v>
      </c>
      <c r="S28">
        <v>3620.7</v>
      </c>
      <c r="T28">
        <v>2.1000000000000001E-2</v>
      </c>
      <c r="U28">
        <v>22</v>
      </c>
      <c r="V28">
        <v>22</v>
      </c>
      <c r="W28">
        <v>22</v>
      </c>
      <c r="X28">
        <f t="shared" si="3"/>
        <v>0.5714285714285714</v>
      </c>
      <c r="Y28">
        <v>5</v>
      </c>
      <c r="Z28">
        <v>487.59</v>
      </c>
      <c r="AA28">
        <v>298.94</v>
      </c>
      <c r="AB28">
        <v>22</v>
      </c>
      <c r="AC28">
        <v>22</v>
      </c>
      <c r="AD28">
        <v>22</v>
      </c>
      <c r="AE28">
        <f t="shared" si="2"/>
        <v>0.5714285714285714</v>
      </c>
    </row>
    <row r="29" spans="1:31">
      <c r="A29" t="s">
        <v>220</v>
      </c>
      <c r="B29">
        <v>497</v>
      </c>
      <c r="C29">
        <v>1715</v>
      </c>
      <c r="D29">
        <v>1.4E-2</v>
      </c>
      <c r="E29">
        <v>3</v>
      </c>
      <c r="F29">
        <v>22</v>
      </c>
      <c r="G29">
        <f t="shared" si="0"/>
        <v>7</v>
      </c>
      <c r="H29" t="s">
        <v>195</v>
      </c>
      <c r="I29">
        <v>36000</v>
      </c>
      <c r="J29" t="s">
        <v>195</v>
      </c>
      <c r="K29">
        <v>7</v>
      </c>
      <c r="L29">
        <v>7.2960000000000003</v>
      </c>
      <c r="M29">
        <v>9</v>
      </c>
      <c r="N29">
        <v>250</v>
      </c>
      <c r="O29">
        <v>642.80999999999995</v>
      </c>
      <c r="P29">
        <v>4.4800000000000004</v>
      </c>
      <c r="Q29">
        <f t="shared" si="1"/>
        <v>0</v>
      </c>
      <c r="R29">
        <v>1</v>
      </c>
      <c r="S29">
        <v>3611.37</v>
      </c>
      <c r="T29">
        <v>7.0000000000000001E-3</v>
      </c>
      <c r="U29">
        <v>21</v>
      </c>
      <c r="V29">
        <v>21</v>
      </c>
      <c r="W29">
        <v>21</v>
      </c>
      <c r="X29">
        <f t="shared" si="3"/>
        <v>2</v>
      </c>
      <c r="Y29">
        <v>5</v>
      </c>
      <c r="Z29">
        <v>17.16</v>
      </c>
      <c r="AA29">
        <v>6.94</v>
      </c>
      <c r="AB29">
        <v>20</v>
      </c>
      <c r="AC29">
        <v>20</v>
      </c>
      <c r="AD29">
        <v>20</v>
      </c>
      <c r="AE29">
        <f t="shared" si="2"/>
        <v>1.8571428571428572</v>
      </c>
    </row>
    <row r="30" spans="1:31">
      <c r="A30" t="s">
        <v>221</v>
      </c>
      <c r="B30">
        <v>503</v>
      </c>
      <c r="C30">
        <v>2762</v>
      </c>
      <c r="D30">
        <v>2.1999999999999999E-2</v>
      </c>
      <c r="E30">
        <v>1</v>
      </c>
      <c r="F30">
        <v>22</v>
      </c>
      <c r="G30">
        <f t="shared" si="0"/>
        <v>4</v>
      </c>
      <c r="H30" t="s">
        <v>195</v>
      </c>
      <c r="I30">
        <v>36000</v>
      </c>
      <c r="J30" t="s">
        <v>195</v>
      </c>
      <c r="K30">
        <v>4</v>
      </c>
      <c r="L30">
        <v>5.0640000000000001</v>
      </c>
      <c r="M30">
        <v>6</v>
      </c>
      <c r="N30">
        <v>250</v>
      </c>
      <c r="O30">
        <v>399.15</v>
      </c>
      <c r="P30">
        <v>33.99</v>
      </c>
      <c r="Q30">
        <f t="shared" si="1"/>
        <v>0</v>
      </c>
      <c r="R30">
        <v>1</v>
      </c>
      <c r="S30">
        <v>3665.0479999999998</v>
      </c>
      <c r="T30">
        <v>600.78800000000001</v>
      </c>
      <c r="U30">
        <v>21</v>
      </c>
      <c r="V30">
        <v>22</v>
      </c>
      <c r="W30">
        <v>22</v>
      </c>
      <c r="X30">
        <f t="shared" si="3"/>
        <v>4.25</v>
      </c>
      <c r="Y30">
        <v>5</v>
      </c>
      <c r="Z30">
        <v>26.84</v>
      </c>
      <c r="AA30">
        <v>26.84</v>
      </c>
      <c r="AB30">
        <v>20</v>
      </c>
      <c r="AC30">
        <v>20.399999999999999</v>
      </c>
      <c r="AD30">
        <v>21</v>
      </c>
      <c r="AE30">
        <f t="shared" si="2"/>
        <v>4</v>
      </c>
    </row>
    <row r="31" spans="1:31">
      <c r="A31" t="s">
        <v>222</v>
      </c>
      <c r="B31">
        <v>503</v>
      </c>
      <c r="C31">
        <v>1425</v>
      </c>
      <c r="D31">
        <v>1.0999999999999999E-2</v>
      </c>
      <c r="E31">
        <v>2</v>
      </c>
      <c r="F31">
        <v>22</v>
      </c>
      <c r="G31">
        <f t="shared" si="0"/>
        <v>3</v>
      </c>
      <c r="H31" t="s">
        <v>195</v>
      </c>
      <c r="I31">
        <v>36000</v>
      </c>
      <c r="J31" t="s">
        <v>195</v>
      </c>
      <c r="K31">
        <v>3</v>
      </c>
      <c r="L31">
        <v>4.024</v>
      </c>
      <c r="M31">
        <v>5</v>
      </c>
      <c r="N31">
        <v>250</v>
      </c>
      <c r="O31">
        <v>177.19</v>
      </c>
      <c r="P31">
        <v>3.19</v>
      </c>
      <c r="Q31">
        <f t="shared" si="1"/>
        <v>0</v>
      </c>
      <c r="R31">
        <v>2</v>
      </c>
      <c r="S31">
        <v>3612.4070000000002</v>
      </c>
      <c r="T31">
        <v>7.0000000000000001E-3</v>
      </c>
      <c r="U31">
        <v>21</v>
      </c>
      <c r="V31">
        <v>21.5</v>
      </c>
      <c r="W31">
        <v>22</v>
      </c>
      <c r="X31">
        <f t="shared" si="3"/>
        <v>6</v>
      </c>
      <c r="Y31">
        <v>5</v>
      </c>
      <c r="Z31">
        <v>13.89</v>
      </c>
      <c r="AA31">
        <v>11.14</v>
      </c>
      <c r="AB31">
        <v>20</v>
      </c>
      <c r="AC31">
        <v>20</v>
      </c>
      <c r="AD31">
        <v>20</v>
      </c>
      <c r="AE31">
        <f t="shared" si="2"/>
        <v>5.666666666666667</v>
      </c>
    </row>
    <row r="32" spans="1:31">
      <c r="A32" t="s">
        <v>223</v>
      </c>
      <c r="B32">
        <v>512</v>
      </c>
      <c r="C32">
        <v>1680</v>
      </c>
      <c r="D32">
        <v>1.2999999999999999E-2</v>
      </c>
      <c r="E32">
        <v>1</v>
      </c>
      <c r="F32">
        <v>22</v>
      </c>
      <c r="G32">
        <f t="shared" si="0"/>
        <v>4</v>
      </c>
      <c r="H32" t="s">
        <v>195</v>
      </c>
      <c r="I32">
        <v>36000</v>
      </c>
      <c r="J32" t="s">
        <v>195</v>
      </c>
      <c r="K32">
        <v>4</v>
      </c>
      <c r="L32">
        <v>5.0720000000000001</v>
      </c>
      <c r="M32">
        <v>6</v>
      </c>
      <c r="N32">
        <v>250</v>
      </c>
      <c r="O32">
        <v>279.12</v>
      </c>
      <c r="P32">
        <v>2.16</v>
      </c>
      <c r="Q32">
        <f t="shared" si="1"/>
        <v>0</v>
      </c>
      <c r="R32">
        <v>1</v>
      </c>
      <c r="S32">
        <v>3604.2629999999999</v>
      </c>
      <c r="T32">
        <v>852.43100000000004</v>
      </c>
      <c r="U32">
        <v>21</v>
      </c>
      <c r="V32">
        <v>21</v>
      </c>
      <c r="W32">
        <v>21</v>
      </c>
      <c r="X32">
        <f t="shared" si="3"/>
        <v>4.25</v>
      </c>
      <c r="Y32">
        <v>5</v>
      </c>
      <c r="Z32">
        <v>16.899999999999999</v>
      </c>
      <c r="AA32">
        <v>6.79</v>
      </c>
      <c r="AB32">
        <v>20</v>
      </c>
      <c r="AC32">
        <v>20.2</v>
      </c>
      <c r="AD32">
        <v>21</v>
      </c>
      <c r="AE32">
        <f t="shared" si="2"/>
        <v>4</v>
      </c>
    </row>
    <row r="33" spans="1:31">
      <c r="A33" t="s">
        <v>224</v>
      </c>
      <c r="B33">
        <v>541</v>
      </c>
      <c r="C33">
        <v>2466</v>
      </c>
      <c r="D33">
        <v>1.7000000000000001E-2</v>
      </c>
      <c r="E33">
        <v>12</v>
      </c>
      <c r="F33">
        <v>23</v>
      </c>
      <c r="G33">
        <f t="shared" si="0"/>
        <v>12</v>
      </c>
      <c r="H33" t="s">
        <v>195</v>
      </c>
      <c r="I33">
        <v>36000</v>
      </c>
      <c r="J33" t="s">
        <v>195</v>
      </c>
      <c r="K33">
        <v>12</v>
      </c>
      <c r="L33">
        <v>12</v>
      </c>
      <c r="M33">
        <v>12</v>
      </c>
      <c r="N33">
        <v>90</v>
      </c>
      <c r="O33">
        <v>606.73</v>
      </c>
      <c r="P33">
        <v>8.06</v>
      </c>
      <c r="Q33">
        <f t="shared" si="1"/>
        <v>0</v>
      </c>
      <c r="R33">
        <v>1</v>
      </c>
      <c r="S33">
        <v>3679.8719999999998</v>
      </c>
      <c r="T33">
        <v>518.53399999999999</v>
      </c>
      <c r="U33">
        <v>22</v>
      </c>
      <c r="V33">
        <v>22</v>
      </c>
      <c r="W33">
        <v>22</v>
      </c>
      <c r="X33">
        <f t="shared" si="3"/>
        <v>0.83333333333333337</v>
      </c>
      <c r="Y33">
        <v>5</v>
      </c>
      <c r="Z33">
        <v>18000.009999999998</v>
      </c>
      <c r="AA33">
        <v>3600</v>
      </c>
      <c r="AB33">
        <v>22</v>
      </c>
      <c r="AC33">
        <v>22</v>
      </c>
      <c r="AD33">
        <v>22</v>
      </c>
      <c r="AE33">
        <f t="shared" si="2"/>
        <v>0.83333333333333337</v>
      </c>
    </row>
    <row r="34" spans="1:31">
      <c r="A34" t="s">
        <v>225</v>
      </c>
      <c r="B34">
        <v>546</v>
      </c>
      <c r="C34">
        <v>1341</v>
      </c>
      <c r="D34">
        <v>8.9999999999999993E-3</v>
      </c>
      <c r="E34">
        <v>1</v>
      </c>
      <c r="F34">
        <v>23</v>
      </c>
      <c r="G34">
        <f t="shared" si="0"/>
        <v>3</v>
      </c>
      <c r="H34" t="s">
        <v>195</v>
      </c>
      <c r="I34">
        <v>36000</v>
      </c>
      <c r="J34" t="s">
        <v>195</v>
      </c>
      <c r="K34">
        <v>3</v>
      </c>
      <c r="L34">
        <v>4.1760000000000002</v>
      </c>
      <c r="M34">
        <v>6</v>
      </c>
      <c r="N34">
        <v>250</v>
      </c>
      <c r="O34">
        <v>154.53</v>
      </c>
      <c r="P34">
        <v>39.31</v>
      </c>
      <c r="Q34">
        <f t="shared" si="1"/>
        <v>0</v>
      </c>
      <c r="R34">
        <v>1</v>
      </c>
      <c r="S34">
        <v>3652.2170000000001</v>
      </c>
      <c r="T34">
        <v>296.14600000000002</v>
      </c>
      <c r="U34">
        <v>22</v>
      </c>
      <c r="V34">
        <v>22</v>
      </c>
      <c r="W34">
        <v>22</v>
      </c>
      <c r="X34">
        <f t="shared" si="3"/>
        <v>6.333333333333333</v>
      </c>
      <c r="Y34">
        <v>5</v>
      </c>
      <c r="Z34">
        <v>5039.87</v>
      </c>
      <c r="AA34">
        <v>2983.39</v>
      </c>
      <c r="AB34">
        <v>21</v>
      </c>
      <c r="AC34">
        <v>21.8</v>
      </c>
      <c r="AD34">
        <v>22</v>
      </c>
      <c r="AE34">
        <f t="shared" si="2"/>
        <v>6</v>
      </c>
    </row>
    <row r="35" spans="1:31">
      <c r="A35" t="s">
        <v>226</v>
      </c>
      <c r="B35">
        <v>592</v>
      </c>
      <c r="C35">
        <v>2256</v>
      </c>
      <c r="D35">
        <v>1.2999999999999999E-2</v>
      </c>
      <c r="E35">
        <v>1</v>
      </c>
      <c r="F35">
        <v>24</v>
      </c>
      <c r="G35">
        <f t="shared" ref="G35:G63" si="4">MIN(H35,K35,U35)</f>
        <v>4</v>
      </c>
      <c r="H35" t="s">
        <v>195</v>
      </c>
      <c r="I35">
        <v>36000</v>
      </c>
      <c r="J35" t="s">
        <v>195</v>
      </c>
      <c r="K35">
        <v>4</v>
      </c>
      <c r="L35">
        <v>4.2480000000000002</v>
      </c>
      <c r="M35">
        <v>5</v>
      </c>
      <c r="N35">
        <v>250</v>
      </c>
      <c r="O35">
        <v>208.7</v>
      </c>
      <c r="P35">
        <v>0.98</v>
      </c>
      <c r="Q35">
        <f t="shared" ref="Q35:Q63" si="5">(K35-G35)/G35</f>
        <v>0</v>
      </c>
      <c r="R35">
        <v>1</v>
      </c>
      <c r="S35">
        <v>3629.114</v>
      </c>
      <c r="T35">
        <v>538.63800000000003</v>
      </c>
      <c r="U35">
        <v>23</v>
      </c>
      <c r="V35">
        <v>23</v>
      </c>
      <c r="W35">
        <v>23</v>
      </c>
      <c r="X35">
        <f t="shared" ref="X35:X63" si="6">(U35-G35)/G35</f>
        <v>4.75</v>
      </c>
      <c r="Y35">
        <v>5</v>
      </c>
      <c r="Z35">
        <v>18000.009999999998</v>
      </c>
      <c r="AA35">
        <v>3600</v>
      </c>
      <c r="AB35">
        <v>23</v>
      </c>
      <c r="AC35">
        <v>23</v>
      </c>
      <c r="AD35">
        <v>23</v>
      </c>
      <c r="AE35">
        <f t="shared" ref="AE35:AE63" si="7">(AB35-G35)/G35</f>
        <v>4.75</v>
      </c>
    </row>
    <row r="36" spans="1:31">
      <c r="A36" t="s">
        <v>227</v>
      </c>
      <c r="B36">
        <v>600</v>
      </c>
      <c r="C36">
        <v>6580</v>
      </c>
      <c r="D36">
        <v>3.6999999999999998E-2</v>
      </c>
      <c r="E36">
        <v>2</v>
      </c>
      <c r="F36">
        <v>24</v>
      </c>
      <c r="G36">
        <f t="shared" si="4"/>
        <v>7</v>
      </c>
      <c r="H36" t="s">
        <v>195</v>
      </c>
      <c r="I36">
        <v>36000</v>
      </c>
      <c r="J36" t="s">
        <v>195</v>
      </c>
      <c r="K36">
        <v>7</v>
      </c>
      <c r="L36">
        <v>7.484</v>
      </c>
      <c r="M36">
        <v>9</v>
      </c>
      <c r="N36">
        <v>250</v>
      </c>
      <c r="O36">
        <v>921.72</v>
      </c>
      <c r="P36">
        <v>9.98</v>
      </c>
      <c r="Q36">
        <f t="shared" si="5"/>
        <v>0</v>
      </c>
      <c r="R36">
        <v>1</v>
      </c>
      <c r="S36">
        <v>3800.57</v>
      </c>
      <c r="T36">
        <v>1.0999999999999999E-2</v>
      </c>
      <c r="U36">
        <v>24</v>
      </c>
      <c r="V36">
        <v>24</v>
      </c>
      <c r="W36">
        <v>24</v>
      </c>
      <c r="X36">
        <f t="shared" si="6"/>
        <v>2.4285714285714284</v>
      </c>
      <c r="Y36">
        <v>5</v>
      </c>
      <c r="Z36">
        <v>18000.009999999998</v>
      </c>
      <c r="AA36">
        <v>3600</v>
      </c>
      <c r="AB36">
        <v>24</v>
      </c>
      <c r="AC36">
        <v>24</v>
      </c>
      <c r="AD36">
        <v>24</v>
      </c>
      <c r="AE36">
        <f t="shared" si="7"/>
        <v>2.4285714285714284</v>
      </c>
    </row>
    <row r="37" spans="1:31">
      <c r="A37" t="s">
        <v>228</v>
      </c>
      <c r="B37">
        <v>655</v>
      </c>
      <c r="C37">
        <v>2841</v>
      </c>
      <c r="D37">
        <v>1.2999999999999999E-2</v>
      </c>
      <c r="E37">
        <v>4</v>
      </c>
      <c r="F37">
        <v>25</v>
      </c>
      <c r="G37">
        <f t="shared" si="4"/>
        <v>9</v>
      </c>
      <c r="H37" t="s">
        <v>195</v>
      </c>
      <c r="I37">
        <v>36000</v>
      </c>
      <c r="J37" t="s">
        <v>195</v>
      </c>
      <c r="K37">
        <v>9</v>
      </c>
      <c r="L37">
        <v>9.8919999999999995</v>
      </c>
      <c r="M37">
        <v>11</v>
      </c>
      <c r="N37">
        <v>250</v>
      </c>
      <c r="O37">
        <v>2228.38</v>
      </c>
      <c r="P37">
        <v>7.69</v>
      </c>
      <c r="Q37">
        <f t="shared" si="5"/>
        <v>0</v>
      </c>
      <c r="R37">
        <v>1</v>
      </c>
      <c r="S37">
        <v>3640.2429999999999</v>
      </c>
      <c r="T37">
        <v>1.2E-2</v>
      </c>
      <c r="U37">
        <v>25</v>
      </c>
      <c r="V37">
        <v>25</v>
      </c>
      <c r="W37">
        <v>25</v>
      </c>
      <c r="X37">
        <f t="shared" si="6"/>
        <v>1.7777777777777777</v>
      </c>
      <c r="Y37">
        <v>5</v>
      </c>
      <c r="Z37">
        <v>18000.009999999998</v>
      </c>
      <c r="AA37">
        <v>3600</v>
      </c>
      <c r="AB37">
        <v>24</v>
      </c>
      <c r="AC37">
        <v>24</v>
      </c>
      <c r="AD37">
        <v>24</v>
      </c>
      <c r="AE37">
        <f t="shared" si="7"/>
        <v>1.6666666666666667</v>
      </c>
    </row>
    <row r="38" spans="1:31">
      <c r="A38" t="s">
        <v>229</v>
      </c>
      <c r="B38">
        <v>663</v>
      </c>
      <c r="C38">
        <v>1682</v>
      </c>
      <c r="D38">
        <v>8.0000000000000002E-3</v>
      </c>
      <c r="E38">
        <v>5</v>
      </c>
      <c r="F38">
        <v>25</v>
      </c>
      <c r="G38">
        <f t="shared" si="4"/>
        <v>11</v>
      </c>
      <c r="H38" t="s">
        <v>195</v>
      </c>
      <c r="I38">
        <v>36000</v>
      </c>
      <c r="J38" t="s">
        <v>195</v>
      </c>
      <c r="K38">
        <v>11</v>
      </c>
      <c r="L38">
        <v>11</v>
      </c>
      <c r="M38">
        <v>11</v>
      </c>
      <c r="N38">
        <v>90</v>
      </c>
      <c r="O38">
        <v>604.79999999999995</v>
      </c>
      <c r="P38">
        <v>6.79</v>
      </c>
      <c r="Q38">
        <f t="shared" si="5"/>
        <v>0</v>
      </c>
      <c r="R38">
        <v>1</v>
      </c>
      <c r="S38">
        <v>3734.3530000000001</v>
      </c>
      <c r="T38">
        <v>239.27600000000001</v>
      </c>
      <c r="U38">
        <v>24</v>
      </c>
      <c r="V38">
        <v>24</v>
      </c>
      <c r="W38">
        <v>24</v>
      </c>
      <c r="X38">
        <f t="shared" si="6"/>
        <v>1.1818181818181819</v>
      </c>
      <c r="Y38">
        <v>5</v>
      </c>
      <c r="Z38">
        <v>2069.4499999999998</v>
      </c>
      <c r="AA38">
        <v>423.86</v>
      </c>
      <c r="AB38">
        <v>23</v>
      </c>
      <c r="AC38">
        <v>23.4</v>
      </c>
      <c r="AD38">
        <v>24</v>
      </c>
      <c r="AE38">
        <f t="shared" si="7"/>
        <v>1.0909090909090908</v>
      </c>
    </row>
    <row r="39" spans="1:31">
      <c r="A39" t="s">
        <v>230</v>
      </c>
      <c r="B39">
        <v>663</v>
      </c>
      <c r="C39">
        <v>1720</v>
      </c>
      <c r="D39">
        <v>8.0000000000000002E-3</v>
      </c>
      <c r="E39">
        <v>5</v>
      </c>
      <c r="F39">
        <v>25</v>
      </c>
      <c r="G39">
        <f t="shared" si="4"/>
        <v>11</v>
      </c>
      <c r="H39" t="s">
        <v>195</v>
      </c>
      <c r="I39">
        <v>36000</v>
      </c>
      <c r="J39" t="s">
        <v>195</v>
      </c>
      <c r="K39">
        <v>11</v>
      </c>
      <c r="L39">
        <v>11.2</v>
      </c>
      <c r="M39">
        <v>12</v>
      </c>
      <c r="N39">
        <v>250</v>
      </c>
      <c r="O39">
        <v>1756.14</v>
      </c>
      <c r="P39">
        <v>15.01</v>
      </c>
      <c r="Q39">
        <f t="shared" si="5"/>
        <v>0</v>
      </c>
      <c r="R39">
        <v>1</v>
      </c>
      <c r="S39">
        <v>3631.8780000000002</v>
      </c>
      <c r="T39">
        <v>288.404</v>
      </c>
      <c r="U39">
        <v>24</v>
      </c>
      <c r="V39">
        <v>24</v>
      </c>
      <c r="W39">
        <v>24</v>
      </c>
      <c r="X39">
        <f t="shared" si="6"/>
        <v>1.1818181818181819</v>
      </c>
      <c r="Y39">
        <v>5</v>
      </c>
      <c r="Z39">
        <v>2566.9699999999998</v>
      </c>
      <c r="AA39">
        <v>548.02</v>
      </c>
      <c r="AB39">
        <v>23</v>
      </c>
      <c r="AC39">
        <v>23.4</v>
      </c>
      <c r="AD39">
        <v>24</v>
      </c>
      <c r="AE39">
        <f t="shared" si="7"/>
        <v>1.0909090909090908</v>
      </c>
    </row>
    <row r="40" spans="1:31">
      <c r="A40" t="s">
        <v>231</v>
      </c>
      <c r="B40">
        <v>663</v>
      </c>
      <c r="C40">
        <v>1709</v>
      </c>
      <c r="D40">
        <v>8.0000000000000002E-3</v>
      </c>
      <c r="E40">
        <v>5</v>
      </c>
      <c r="F40">
        <v>25</v>
      </c>
      <c r="G40">
        <f t="shared" si="4"/>
        <v>11</v>
      </c>
      <c r="H40" t="s">
        <v>195</v>
      </c>
      <c r="I40">
        <v>36000</v>
      </c>
      <c r="J40" t="s">
        <v>195</v>
      </c>
      <c r="K40">
        <v>11</v>
      </c>
      <c r="L40">
        <v>11.066700000000001</v>
      </c>
      <c r="M40">
        <v>12</v>
      </c>
      <c r="N40">
        <v>90</v>
      </c>
      <c r="O40">
        <v>636.14</v>
      </c>
      <c r="P40">
        <v>6.94</v>
      </c>
      <c r="Q40">
        <f t="shared" si="5"/>
        <v>0</v>
      </c>
      <c r="R40">
        <v>1</v>
      </c>
      <c r="S40">
        <v>3758.5590000000002</v>
      </c>
      <c r="T40">
        <v>1095.835</v>
      </c>
      <c r="U40">
        <v>24</v>
      </c>
      <c r="V40">
        <v>24</v>
      </c>
      <c r="W40">
        <v>24</v>
      </c>
      <c r="X40">
        <f t="shared" si="6"/>
        <v>1.1818181818181819</v>
      </c>
      <c r="Y40">
        <v>5</v>
      </c>
      <c r="Z40">
        <v>2501.4699999999998</v>
      </c>
      <c r="AA40">
        <v>524.52</v>
      </c>
      <c r="AB40">
        <v>23</v>
      </c>
      <c r="AC40">
        <v>23.2</v>
      </c>
      <c r="AD40">
        <v>24</v>
      </c>
      <c r="AE40">
        <f t="shared" si="7"/>
        <v>1.0909090909090908</v>
      </c>
    </row>
    <row r="41" spans="1:31">
      <c r="A41" t="s">
        <v>232</v>
      </c>
      <c r="B41">
        <v>666</v>
      </c>
      <c r="C41">
        <v>2148</v>
      </c>
      <c r="D41">
        <v>0.01</v>
      </c>
      <c r="E41">
        <v>2</v>
      </c>
      <c r="F41">
        <v>25</v>
      </c>
      <c r="G41">
        <f t="shared" si="4"/>
        <v>4</v>
      </c>
      <c r="H41" t="s">
        <v>195</v>
      </c>
      <c r="I41">
        <v>36000</v>
      </c>
      <c r="J41" t="s">
        <v>195</v>
      </c>
      <c r="K41">
        <v>4</v>
      </c>
      <c r="L41">
        <v>4.72</v>
      </c>
      <c r="M41">
        <v>6</v>
      </c>
      <c r="N41">
        <v>250</v>
      </c>
      <c r="O41">
        <v>394.45</v>
      </c>
      <c r="P41">
        <v>1.63</v>
      </c>
      <c r="Q41">
        <f t="shared" si="5"/>
        <v>0</v>
      </c>
      <c r="R41">
        <v>1</v>
      </c>
      <c r="S41">
        <v>3605.8530000000001</v>
      </c>
      <c r="T41">
        <v>1.0999999999999999E-2</v>
      </c>
      <c r="U41">
        <v>25</v>
      </c>
      <c r="V41">
        <v>24</v>
      </c>
      <c r="W41">
        <v>24</v>
      </c>
      <c r="X41">
        <f t="shared" si="6"/>
        <v>5.25</v>
      </c>
      <c r="Y41">
        <v>5</v>
      </c>
      <c r="Z41">
        <v>18000.009999999998</v>
      </c>
      <c r="AA41">
        <v>3600</v>
      </c>
      <c r="AB41">
        <v>24</v>
      </c>
      <c r="AC41">
        <v>24</v>
      </c>
      <c r="AD41">
        <v>24</v>
      </c>
      <c r="AE41">
        <f t="shared" si="7"/>
        <v>5</v>
      </c>
    </row>
    <row r="42" spans="1:31">
      <c r="A42" t="s">
        <v>233</v>
      </c>
      <c r="B42">
        <v>680</v>
      </c>
      <c r="C42">
        <v>1464</v>
      </c>
      <c r="D42">
        <v>6.0000000000000001E-3</v>
      </c>
      <c r="E42">
        <v>1</v>
      </c>
      <c r="F42">
        <v>26</v>
      </c>
      <c r="G42">
        <f t="shared" si="4"/>
        <v>3</v>
      </c>
      <c r="H42" t="s">
        <v>195</v>
      </c>
      <c r="I42">
        <v>36000</v>
      </c>
      <c r="J42" t="s">
        <v>195</v>
      </c>
      <c r="K42">
        <v>3</v>
      </c>
      <c r="L42">
        <v>4.0599999999999996</v>
      </c>
      <c r="M42">
        <v>5</v>
      </c>
      <c r="N42">
        <v>250</v>
      </c>
      <c r="O42">
        <v>232.21</v>
      </c>
      <c r="P42">
        <v>114.3</v>
      </c>
      <c r="Q42">
        <f t="shared" si="5"/>
        <v>0</v>
      </c>
      <c r="R42">
        <v>1</v>
      </c>
      <c r="S42">
        <v>3818.8409999999999</v>
      </c>
      <c r="T42">
        <v>191.626</v>
      </c>
      <c r="U42">
        <v>24</v>
      </c>
      <c r="V42">
        <v>25</v>
      </c>
      <c r="W42">
        <v>25</v>
      </c>
      <c r="X42">
        <f t="shared" si="6"/>
        <v>7</v>
      </c>
      <c r="Y42">
        <v>5</v>
      </c>
      <c r="Z42">
        <v>1611.25</v>
      </c>
      <c r="AA42">
        <v>328.54</v>
      </c>
      <c r="AB42">
        <v>24</v>
      </c>
      <c r="AC42">
        <v>24</v>
      </c>
      <c r="AD42">
        <v>24</v>
      </c>
      <c r="AE42">
        <f t="shared" si="7"/>
        <v>7</v>
      </c>
    </row>
    <row r="43" spans="1:31">
      <c r="A43" t="s">
        <v>234</v>
      </c>
      <c r="B43">
        <v>681</v>
      </c>
      <c r="C43">
        <v>1373</v>
      </c>
      <c r="D43">
        <v>6.0000000000000001E-3</v>
      </c>
      <c r="E43">
        <v>1</v>
      </c>
      <c r="F43">
        <v>26</v>
      </c>
      <c r="G43">
        <f t="shared" si="4"/>
        <v>4</v>
      </c>
      <c r="H43" t="s">
        <v>195</v>
      </c>
      <c r="I43">
        <v>36000</v>
      </c>
      <c r="J43" t="s">
        <v>195</v>
      </c>
      <c r="K43">
        <v>4</v>
      </c>
      <c r="L43">
        <v>4.3680000000000003</v>
      </c>
      <c r="M43">
        <v>6</v>
      </c>
      <c r="N43">
        <v>250</v>
      </c>
      <c r="O43">
        <v>277.97000000000003</v>
      </c>
      <c r="P43">
        <v>0.99</v>
      </c>
      <c r="Q43">
        <f t="shared" si="5"/>
        <v>0</v>
      </c>
      <c r="R43">
        <v>1</v>
      </c>
      <c r="S43">
        <v>3642.36</v>
      </c>
      <c r="T43">
        <v>63.756999999999998</v>
      </c>
      <c r="U43">
        <v>25</v>
      </c>
      <c r="V43">
        <v>25</v>
      </c>
      <c r="W43">
        <v>25</v>
      </c>
      <c r="X43">
        <f t="shared" si="6"/>
        <v>5.25</v>
      </c>
      <c r="Y43">
        <v>5</v>
      </c>
      <c r="Z43">
        <v>1795.69</v>
      </c>
      <c r="AA43">
        <v>741.5</v>
      </c>
      <c r="AB43">
        <v>24</v>
      </c>
      <c r="AC43">
        <v>24.6</v>
      </c>
      <c r="AD43">
        <v>25</v>
      </c>
      <c r="AE43">
        <f t="shared" si="7"/>
        <v>5</v>
      </c>
    </row>
    <row r="44" spans="1:31">
      <c r="A44" t="s">
        <v>235</v>
      </c>
      <c r="B44">
        <v>681</v>
      </c>
      <c r="C44">
        <v>1373</v>
      </c>
      <c r="D44">
        <v>6.0000000000000001E-3</v>
      </c>
      <c r="E44">
        <v>1</v>
      </c>
      <c r="F44">
        <v>26</v>
      </c>
      <c r="G44">
        <f t="shared" si="4"/>
        <v>4</v>
      </c>
      <c r="H44" t="s">
        <v>195</v>
      </c>
      <c r="I44">
        <v>36000</v>
      </c>
      <c r="J44" t="s">
        <v>195</v>
      </c>
      <c r="K44">
        <v>4</v>
      </c>
      <c r="L44">
        <v>4.3680000000000003</v>
      </c>
      <c r="M44">
        <v>6</v>
      </c>
      <c r="N44">
        <v>250</v>
      </c>
      <c r="O44">
        <v>283.73</v>
      </c>
      <c r="P44">
        <v>1.01</v>
      </c>
      <c r="Q44">
        <f t="shared" si="5"/>
        <v>0</v>
      </c>
      <c r="R44">
        <v>1</v>
      </c>
      <c r="S44">
        <v>3705.2139999999999</v>
      </c>
      <c r="T44">
        <v>1.0999999999999999E-2</v>
      </c>
      <c r="U44">
        <v>25</v>
      </c>
      <c r="V44">
        <v>25</v>
      </c>
      <c r="W44">
        <v>25</v>
      </c>
      <c r="X44">
        <f t="shared" si="6"/>
        <v>5.25</v>
      </c>
      <c r="Y44">
        <v>5</v>
      </c>
      <c r="Z44">
        <v>1797.42</v>
      </c>
      <c r="AA44">
        <v>742.44</v>
      </c>
      <c r="AB44">
        <v>24</v>
      </c>
      <c r="AC44">
        <v>24.6</v>
      </c>
      <c r="AD44">
        <v>25</v>
      </c>
      <c r="AE44">
        <f t="shared" si="7"/>
        <v>5</v>
      </c>
    </row>
    <row r="45" spans="1:31">
      <c r="A45" t="s">
        <v>165</v>
      </c>
      <c r="B45">
        <v>729</v>
      </c>
      <c r="C45">
        <v>1944</v>
      </c>
      <c r="D45">
        <v>7.0000000000000001E-3</v>
      </c>
      <c r="E45">
        <v>2</v>
      </c>
      <c r="F45">
        <v>26</v>
      </c>
      <c r="G45">
        <f t="shared" si="4"/>
        <v>4</v>
      </c>
      <c r="H45" t="s">
        <v>195</v>
      </c>
      <c r="I45">
        <v>36000</v>
      </c>
      <c r="J45" t="s">
        <v>195</v>
      </c>
      <c r="K45">
        <v>4</v>
      </c>
      <c r="L45">
        <v>5.2439999999999998</v>
      </c>
      <c r="M45">
        <v>6</v>
      </c>
      <c r="N45">
        <v>250</v>
      </c>
      <c r="O45">
        <v>435.03</v>
      </c>
      <c r="P45">
        <v>202.72</v>
      </c>
      <c r="Q45">
        <f t="shared" si="5"/>
        <v>0</v>
      </c>
      <c r="R45">
        <v>1</v>
      </c>
      <c r="S45">
        <v>3615.902</v>
      </c>
      <c r="T45">
        <v>1.2E-2</v>
      </c>
      <c r="U45">
        <v>26</v>
      </c>
      <c r="V45">
        <v>26</v>
      </c>
      <c r="W45">
        <v>26</v>
      </c>
      <c r="X45">
        <f t="shared" si="6"/>
        <v>5.5</v>
      </c>
      <c r="Y45">
        <v>5</v>
      </c>
      <c r="Z45">
        <v>18000.009999999998</v>
      </c>
      <c r="AA45">
        <v>3600</v>
      </c>
      <c r="AB45">
        <v>25</v>
      </c>
      <c r="AC45">
        <v>25</v>
      </c>
      <c r="AD45">
        <v>25</v>
      </c>
      <c r="AE45">
        <f t="shared" si="7"/>
        <v>5.25</v>
      </c>
    </row>
    <row r="46" spans="1:31">
      <c r="A46" t="s">
        <v>236</v>
      </c>
      <c r="B46">
        <v>731</v>
      </c>
      <c r="C46">
        <v>15086</v>
      </c>
      <c r="D46">
        <v>5.7000000000000002E-2</v>
      </c>
      <c r="E46">
        <v>3</v>
      </c>
      <c r="F46">
        <v>27</v>
      </c>
      <c r="G46">
        <f t="shared" si="4"/>
        <v>10</v>
      </c>
      <c r="H46" t="s">
        <v>195</v>
      </c>
      <c r="I46">
        <v>36000</v>
      </c>
      <c r="J46" t="s">
        <v>195</v>
      </c>
      <c r="K46">
        <v>10</v>
      </c>
      <c r="L46">
        <v>11.144</v>
      </c>
      <c r="M46">
        <v>13</v>
      </c>
      <c r="N46">
        <v>250</v>
      </c>
      <c r="O46">
        <v>9495.84</v>
      </c>
      <c r="P46">
        <v>855.5</v>
      </c>
      <c r="Q46">
        <f t="shared" si="5"/>
        <v>0</v>
      </c>
      <c r="R46">
        <v>1</v>
      </c>
      <c r="S46">
        <v>3897.0610000000001</v>
      </c>
      <c r="T46">
        <v>1.9E-2</v>
      </c>
      <c r="U46">
        <v>27</v>
      </c>
      <c r="V46">
        <v>27</v>
      </c>
      <c r="W46">
        <v>27</v>
      </c>
      <c r="X46">
        <f t="shared" si="6"/>
        <v>1.7</v>
      </c>
      <c r="Y46">
        <v>5</v>
      </c>
      <c r="Z46">
        <v>148.82</v>
      </c>
      <c r="AA46">
        <v>28.35</v>
      </c>
      <c r="AB46">
        <v>27</v>
      </c>
      <c r="AC46">
        <v>27</v>
      </c>
      <c r="AD46">
        <v>27</v>
      </c>
      <c r="AE46">
        <f t="shared" si="7"/>
        <v>1.7</v>
      </c>
    </row>
    <row r="47" spans="1:31">
      <c r="A47" t="s">
        <v>237</v>
      </c>
      <c r="B47">
        <v>760</v>
      </c>
      <c r="C47">
        <v>3518</v>
      </c>
      <c r="D47">
        <v>1.2E-2</v>
      </c>
      <c r="E47">
        <v>2</v>
      </c>
      <c r="F47">
        <v>27</v>
      </c>
      <c r="G47">
        <f t="shared" si="4"/>
        <v>5</v>
      </c>
      <c r="H47" t="s">
        <v>195</v>
      </c>
      <c r="I47">
        <v>36000</v>
      </c>
      <c r="J47" t="s">
        <v>195</v>
      </c>
      <c r="K47">
        <v>5</v>
      </c>
      <c r="L47">
        <v>5.468</v>
      </c>
      <c r="M47">
        <v>6</v>
      </c>
      <c r="N47">
        <v>250</v>
      </c>
      <c r="O47">
        <v>715.2</v>
      </c>
      <c r="P47">
        <v>3.38</v>
      </c>
      <c r="Q47">
        <f t="shared" si="5"/>
        <v>0</v>
      </c>
      <c r="R47">
        <v>1</v>
      </c>
      <c r="S47">
        <v>3784.6990000000001</v>
      </c>
      <c r="T47">
        <v>1.4999999999999999E-2</v>
      </c>
      <c r="U47">
        <v>27</v>
      </c>
      <c r="V47">
        <v>27</v>
      </c>
      <c r="W47">
        <v>27</v>
      </c>
      <c r="X47">
        <f t="shared" si="6"/>
        <v>4.4000000000000004</v>
      </c>
      <c r="Y47">
        <v>5</v>
      </c>
      <c r="Z47">
        <v>33.15</v>
      </c>
      <c r="AA47">
        <v>6.66</v>
      </c>
      <c r="AB47">
        <v>27</v>
      </c>
      <c r="AC47">
        <v>27</v>
      </c>
      <c r="AD47">
        <v>27</v>
      </c>
      <c r="AE47">
        <f t="shared" si="7"/>
        <v>4.4000000000000004</v>
      </c>
    </row>
    <row r="48" spans="1:31">
      <c r="A48" t="s">
        <v>238</v>
      </c>
      <c r="B48">
        <v>822</v>
      </c>
      <c r="C48">
        <v>3260</v>
      </c>
      <c r="D48">
        <v>0.01</v>
      </c>
      <c r="E48">
        <v>4</v>
      </c>
      <c r="F48">
        <v>28</v>
      </c>
      <c r="G48">
        <f t="shared" si="4"/>
        <v>13</v>
      </c>
      <c r="H48" t="s">
        <v>195</v>
      </c>
      <c r="I48">
        <v>36000</v>
      </c>
      <c r="J48" t="s">
        <v>195</v>
      </c>
      <c r="K48">
        <v>13</v>
      </c>
      <c r="L48">
        <v>11.288</v>
      </c>
      <c r="M48">
        <v>12</v>
      </c>
      <c r="N48">
        <v>250</v>
      </c>
      <c r="O48">
        <v>2428.19</v>
      </c>
      <c r="P48">
        <v>25.88</v>
      </c>
      <c r="Q48">
        <f t="shared" si="5"/>
        <v>0</v>
      </c>
      <c r="R48">
        <v>1</v>
      </c>
      <c r="S48">
        <v>3783.8710000000001</v>
      </c>
      <c r="T48">
        <v>1.6E-2</v>
      </c>
      <c r="U48">
        <v>28</v>
      </c>
      <c r="V48">
        <v>28</v>
      </c>
      <c r="W48">
        <v>28</v>
      </c>
      <c r="X48">
        <f t="shared" si="6"/>
        <v>1.1538461538461537</v>
      </c>
      <c r="Y48">
        <v>5</v>
      </c>
      <c r="Z48">
        <v>18000.009999999998</v>
      </c>
      <c r="AA48">
        <v>3600</v>
      </c>
      <c r="AB48">
        <v>27</v>
      </c>
      <c r="AC48">
        <v>27</v>
      </c>
      <c r="AD48">
        <v>27</v>
      </c>
      <c r="AE48">
        <f t="shared" si="7"/>
        <v>1.0769230769230769</v>
      </c>
    </row>
    <row r="49" spans="1:31">
      <c r="A49" t="s">
        <v>239</v>
      </c>
      <c r="B49">
        <v>822</v>
      </c>
      <c r="C49">
        <v>4635</v>
      </c>
      <c r="D49">
        <v>1.4E-2</v>
      </c>
      <c r="E49">
        <v>5</v>
      </c>
      <c r="F49">
        <v>28</v>
      </c>
      <c r="G49">
        <f t="shared" si="4"/>
        <v>12</v>
      </c>
      <c r="H49" t="s">
        <v>195</v>
      </c>
      <c r="I49">
        <v>36000</v>
      </c>
      <c r="J49" t="s">
        <v>195</v>
      </c>
      <c r="K49">
        <v>12</v>
      </c>
      <c r="L49">
        <v>13.1304</v>
      </c>
      <c r="M49">
        <v>14</v>
      </c>
      <c r="N49">
        <v>92</v>
      </c>
      <c r="O49">
        <v>6582.26</v>
      </c>
      <c r="P49">
        <v>5015.76</v>
      </c>
      <c r="Q49">
        <f t="shared" si="5"/>
        <v>0</v>
      </c>
      <c r="R49">
        <v>1</v>
      </c>
      <c r="S49">
        <v>3762.8220000000001</v>
      </c>
      <c r="T49">
        <v>1.6E-2</v>
      </c>
      <c r="U49">
        <v>28</v>
      </c>
      <c r="V49">
        <v>28</v>
      </c>
      <c r="W49">
        <v>28</v>
      </c>
      <c r="X49">
        <f t="shared" si="6"/>
        <v>1.3333333333333333</v>
      </c>
      <c r="Y49">
        <v>5</v>
      </c>
      <c r="Z49">
        <v>18000.009999999998</v>
      </c>
      <c r="AA49">
        <v>3600</v>
      </c>
      <c r="AB49">
        <v>27</v>
      </c>
      <c r="AC49">
        <v>27.4</v>
      </c>
      <c r="AD49">
        <v>28</v>
      </c>
      <c r="AE49">
        <f t="shared" si="7"/>
        <v>1.25</v>
      </c>
    </row>
    <row r="50" spans="1:31">
      <c r="A50" t="s">
        <v>240</v>
      </c>
      <c r="B50">
        <v>822</v>
      </c>
      <c r="C50">
        <v>4698</v>
      </c>
      <c r="D50">
        <v>1.4E-2</v>
      </c>
      <c r="E50">
        <v>5</v>
      </c>
      <c r="F50">
        <v>28</v>
      </c>
      <c r="G50">
        <f t="shared" si="4"/>
        <v>13</v>
      </c>
      <c r="H50" t="s">
        <v>195</v>
      </c>
      <c r="I50">
        <v>36000</v>
      </c>
      <c r="J50" t="s">
        <v>195</v>
      </c>
      <c r="K50">
        <v>13</v>
      </c>
      <c r="L50">
        <v>13.231999999999999</v>
      </c>
      <c r="M50">
        <v>14</v>
      </c>
      <c r="N50">
        <v>250</v>
      </c>
      <c r="O50">
        <v>6520.74</v>
      </c>
      <c r="P50">
        <v>27.65</v>
      </c>
      <c r="Q50">
        <f t="shared" si="5"/>
        <v>0</v>
      </c>
      <c r="R50">
        <v>1</v>
      </c>
      <c r="S50">
        <v>3627.8</v>
      </c>
      <c r="T50">
        <v>1.6E-2</v>
      </c>
      <c r="U50">
        <v>28</v>
      </c>
      <c r="V50">
        <v>28</v>
      </c>
      <c r="W50">
        <v>28</v>
      </c>
      <c r="X50">
        <f t="shared" si="6"/>
        <v>1.1538461538461537</v>
      </c>
      <c r="Y50">
        <v>5</v>
      </c>
      <c r="Z50">
        <v>18000.009999999998</v>
      </c>
      <c r="AA50">
        <v>7200</v>
      </c>
      <c r="AB50">
        <v>27</v>
      </c>
      <c r="AC50">
        <v>27.8</v>
      </c>
      <c r="AD50">
        <v>28</v>
      </c>
      <c r="AE50">
        <f t="shared" si="7"/>
        <v>1.0769230769230769</v>
      </c>
    </row>
    <row r="51" spans="1:31">
      <c r="A51" t="s">
        <v>241</v>
      </c>
      <c r="B51">
        <v>822</v>
      </c>
      <c r="C51">
        <v>4760</v>
      </c>
      <c r="D51">
        <v>1.4E-2</v>
      </c>
      <c r="E51">
        <v>5</v>
      </c>
      <c r="F51">
        <v>28</v>
      </c>
      <c r="G51">
        <f t="shared" si="4"/>
        <v>13</v>
      </c>
      <c r="H51" t="s">
        <v>195</v>
      </c>
      <c r="I51">
        <v>36000</v>
      </c>
      <c r="J51" t="s">
        <v>195</v>
      </c>
      <c r="K51">
        <v>13</v>
      </c>
      <c r="L51">
        <v>13.295999999999999</v>
      </c>
      <c r="M51">
        <v>14</v>
      </c>
      <c r="N51">
        <v>250</v>
      </c>
      <c r="O51">
        <v>6785.49</v>
      </c>
      <c r="P51">
        <v>28.43</v>
      </c>
      <c r="Q51">
        <f t="shared" si="5"/>
        <v>0</v>
      </c>
      <c r="R51">
        <v>1</v>
      </c>
      <c r="S51">
        <v>3777.5720000000001</v>
      </c>
      <c r="T51">
        <v>1.6E-2</v>
      </c>
      <c r="U51">
        <v>28</v>
      </c>
      <c r="V51">
        <v>28</v>
      </c>
      <c r="W51">
        <v>28</v>
      </c>
      <c r="X51">
        <f t="shared" si="6"/>
        <v>1.1538461538461537</v>
      </c>
      <c r="Y51">
        <v>5</v>
      </c>
      <c r="Z51">
        <v>18000.009999999998</v>
      </c>
      <c r="AA51">
        <v>3600</v>
      </c>
      <c r="AB51">
        <v>28</v>
      </c>
      <c r="AC51">
        <v>28</v>
      </c>
      <c r="AD51">
        <v>28</v>
      </c>
      <c r="AE51">
        <f t="shared" si="7"/>
        <v>1.1538461538461537</v>
      </c>
    </row>
    <row r="52" spans="1:31">
      <c r="A52" t="s">
        <v>242</v>
      </c>
      <c r="B52">
        <v>822</v>
      </c>
      <c r="C52">
        <v>4809</v>
      </c>
      <c r="D52">
        <v>1.4E-2</v>
      </c>
      <c r="E52">
        <v>5</v>
      </c>
      <c r="F52">
        <v>28</v>
      </c>
      <c r="G52">
        <f t="shared" si="4"/>
        <v>12</v>
      </c>
      <c r="H52" t="s">
        <v>195</v>
      </c>
      <c r="I52">
        <v>36000</v>
      </c>
      <c r="J52" t="s">
        <v>195</v>
      </c>
      <c r="K52">
        <v>12</v>
      </c>
      <c r="L52">
        <v>13.295999999999999</v>
      </c>
      <c r="M52">
        <v>14</v>
      </c>
      <c r="N52">
        <v>250</v>
      </c>
      <c r="O52">
        <v>5302.92</v>
      </c>
      <c r="P52">
        <v>25.7</v>
      </c>
      <c r="Q52">
        <f t="shared" si="5"/>
        <v>0</v>
      </c>
      <c r="R52">
        <v>1</v>
      </c>
      <c r="S52">
        <v>3646.453</v>
      </c>
      <c r="T52">
        <v>1.7000000000000001E-2</v>
      </c>
      <c r="U52">
        <v>28</v>
      </c>
      <c r="V52">
        <v>28</v>
      </c>
      <c r="W52">
        <v>28</v>
      </c>
      <c r="X52">
        <f t="shared" si="6"/>
        <v>1.3333333333333333</v>
      </c>
      <c r="Y52">
        <v>5</v>
      </c>
      <c r="Z52">
        <v>18000.009999999998</v>
      </c>
      <c r="AA52">
        <v>3600</v>
      </c>
      <c r="AB52">
        <v>28</v>
      </c>
      <c r="AC52">
        <v>28</v>
      </c>
      <c r="AD52">
        <v>28</v>
      </c>
      <c r="AE52">
        <f t="shared" si="7"/>
        <v>1.3333333333333333</v>
      </c>
    </row>
    <row r="53" spans="1:31">
      <c r="A53" t="s">
        <v>243</v>
      </c>
      <c r="B53">
        <v>822</v>
      </c>
      <c r="C53">
        <v>3788</v>
      </c>
      <c r="D53">
        <v>1.0999999999999999E-2</v>
      </c>
      <c r="E53">
        <v>5</v>
      </c>
      <c r="F53">
        <v>28</v>
      </c>
      <c r="G53">
        <f t="shared" si="4"/>
        <v>12</v>
      </c>
      <c r="H53" t="s">
        <v>195</v>
      </c>
      <c r="I53">
        <v>36000</v>
      </c>
      <c r="J53" t="s">
        <v>195</v>
      </c>
      <c r="K53">
        <v>12</v>
      </c>
      <c r="L53">
        <v>12.24</v>
      </c>
      <c r="M53">
        <v>13</v>
      </c>
      <c r="N53">
        <v>250</v>
      </c>
      <c r="O53">
        <v>5528.3</v>
      </c>
      <c r="P53">
        <v>20.309999999999999</v>
      </c>
      <c r="Q53">
        <f t="shared" si="5"/>
        <v>0</v>
      </c>
      <c r="R53">
        <v>1</v>
      </c>
      <c r="S53">
        <v>3831.9119999999998</v>
      </c>
      <c r="T53">
        <v>1.6E-2</v>
      </c>
      <c r="U53">
        <v>28</v>
      </c>
      <c r="V53">
        <v>28</v>
      </c>
      <c r="W53">
        <v>28</v>
      </c>
      <c r="X53">
        <f t="shared" si="6"/>
        <v>1.3333333333333333</v>
      </c>
      <c r="Y53">
        <v>5</v>
      </c>
      <c r="Z53">
        <v>18000.009999999998</v>
      </c>
      <c r="AA53">
        <v>3600</v>
      </c>
      <c r="AB53">
        <v>27</v>
      </c>
      <c r="AC53">
        <v>27</v>
      </c>
      <c r="AD53">
        <v>27</v>
      </c>
      <c r="AE53">
        <f t="shared" si="7"/>
        <v>1.25</v>
      </c>
    </row>
    <row r="54" spans="1:31">
      <c r="A54" t="s">
        <v>244</v>
      </c>
      <c r="B54">
        <v>822</v>
      </c>
      <c r="C54">
        <v>4015</v>
      </c>
      <c r="D54">
        <v>1.2E-2</v>
      </c>
      <c r="E54">
        <v>5</v>
      </c>
      <c r="F54">
        <v>28</v>
      </c>
      <c r="G54">
        <f t="shared" si="4"/>
        <v>12</v>
      </c>
      <c r="H54" t="s">
        <v>195</v>
      </c>
      <c r="I54">
        <v>36000</v>
      </c>
      <c r="J54" t="s">
        <v>195</v>
      </c>
      <c r="K54">
        <v>12</v>
      </c>
      <c r="L54">
        <v>12.544</v>
      </c>
      <c r="M54">
        <v>14</v>
      </c>
      <c r="N54">
        <v>250</v>
      </c>
      <c r="O54">
        <v>5801.02</v>
      </c>
      <c r="P54">
        <v>184.09</v>
      </c>
      <c r="Q54">
        <f t="shared" si="5"/>
        <v>0</v>
      </c>
      <c r="R54">
        <v>1</v>
      </c>
      <c r="S54">
        <v>3851.2669999999998</v>
      </c>
      <c r="T54">
        <v>1.6E-2</v>
      </c>
      <c r="U54">
        <v>28</v>
      </c>
      <c r="V54">
        <v>28</v>
      </c>
      <c r="W54">
        <v>28</v>
      </c>
      <c r="X54">
        <f t="shared" si="6"/>
        <v>1.3333333333333333</v>
      </c>
      <c r="Y54">
        <v>5</v>
      </c>
      <c r="Z54">
        <v>18000.009999999998</v>
      </c>
      <c r="AA54">
        <v>3600</v>
      </c>
      <c r="AB54">
        <v>27</v>
      </c>
      <c r="AC54">
        <v>27</v>
      </c>
      <c r="AD54">
        <v>27</v>
      </c>
      <c r="AE54">
        <f t="shared" si="7"/>
        <v>1.25</v>
      </c>
    </row>
    <row r="55" spans="1:31">
      <c r="A55" t="s">
        <v>245</v>
      </c>
      <c r="B55">
        <v>822</v>
      </c>
      <c r="C55">
        <v>4157</v>
      </c>
      <c r="D55">
        <v>1.2E-2</v>
      </c>
      <c r="E55">
        <v>4</v>
      </c>
      <c r="F55">
        <v>28</v>
      </c>
      <c r="G55">
        <f t="shared" si="4"/>
        <v>12</v>
      </c>
      <c r="H55" t="s">
        <v>195</v>
      </c>
      <c r="I55">
        <v>36000</v>
      </c>
      <c r="J55" t="s">
        <v>195</v>
      </c>
      <c r="K55">
        <v>12</v>
      </c>
      <c r="L55">
        <v>12.86</v>
      </c>
      <c r="M55">
        <v>14</v>
      </c>
      <c r="N55">
        <v>250</v>
      </c>
      <c r="O55">
        <v>6114.41</v>
      </c>
      <c r="P55">
        <v>344.03</v>
      </c>
      <c r="Q55">
        <f t="shared" si="5"/>
        <v>0</v>
      </c>
      <c r="R55">
        <v>1</v>
      </c>
      <c r="S55">
        <v>3864.6819999999998</v>
      </c>
      <c r="T55">
        <v>1.6E-2</v>
      </c>
      <c r="U55">
        <v>28</v>
      </c>
      <c r="V55">
        <v>28</v>
      </c>
      <c r="W55">
        <v>28</v>
      </c>
      <c r="X55">
        <f t="shared" si="6"/>
        <v>1.3333333333333333</v>
      </c>
      <c r="Y55">
        <v>5</v>
      </c>
      <c r="Z55">
        <v>18000.009999999998</v>
      </c>
      <c r="AA55">
        <v>3600</v>
      </c>
      <c r="AB55">
        <v>27</v>
      </c>
      <c r="AC55">
        <v>27</v>
      </c>
      <c r="AD55">
        <v>27</v>
      </c>
      <c r="AE55">
        <f t="shared" si="7"/>
        <v>1.25</v>
      </c>
    </row>
    <row r="56" spans="1:31">
      <c r="A56" t="s">
        <v>246</v>
      </c>
      <c r="B56">
        <v>822</v>
      </c>
      <c r="C56">
        <v>4518</v>
      </c>
      <c r="D56">
        <v>1.2999999999999999E-2</v>
      </c>
      <c r="E56">
        <v>5</v>
      </c>
      <c r="F56">
        <v>28</v>
      </c>
      <c r="G56">
        <f t="shared" si="4"/>
        <v>11</v>
      </c>
      <c r="H56" t="s">
        <v>195</v>
      </c>
      <c r="I56">
        <v>36000</v>
      </c>
      <c r="J56" t="s">
        <v>195</v>
      </c>
      <c r="K56">
        <v>11</v>
      </c>
      <c r="L56">
        <v>13.08</v>
      </c>
      <c r="M56">
        <v>14</v>
      </c>
      <c r="N56">
        <v>250</v>
      </c>
      <c r="O56">
        <v>4199.3999999999996</v>
      </c>
      <c r="P56">
        <v>58.25</v>
      </c>
      <c r="Q56">
        <f t="shared" si="5"/>
        <v>0</v>
      </c>
      <c r="R56">
        <v>1</v>
      </c>
      <c r="S56">
        <v>3897.8040000000001</v>
      </c>
      <c r="T56">
        <v>1.7000000000000001E-2</v>
      </c>
      <c r="U56">
        <v>28</v>
      </c>
      <c r="V56">
        <v>28</v>
      </c>
      <c r="W56">
        <v>28</v>
      </c>
      <c r="X56">
        <f t="shared" si="6"/>
        <v>1.5454545454545454</v>
      </c>
      <c r="Y56">
        <v>5</v>
      </c>
      <c r="Z56">
        <v>18000.009999999998</v>
      </c>
      <c r="AA56">
        <v>18000.009999999998</v>
      </c>
      <c r="AB56">
        <v>27</v>
      </c>
      <c r="AC56">
        <v>27.8</v>
      </c>
      <c r="AD56">
        <v>28</v>
      </c>
      <c r="AE56">
        <f t="shared" si="7"/>
        <v>1.4545454545454546</v>
      </c>
    </row>
    <row r="57" spans="1:31">
      <c r="A57" t="s">
        <v>247</v>
      </c>
      <c r="B57">
        <v>838</v>
      </c>
      <c r="C57">
        <v>4586</v>
      </c>
      <c r="D57">
        <v>1.2999999999999999E-2</v>
      </c>
      <c r="E57">
        <v>3</v>
      </c>
      <c r="F57">
        <v>28</v>
      </c>
      <c r="G57">
        <f t="shared" si="4"/>
        <v>6</v>
      </c>
      <c r="H57" t="s">
        <v>195</v>
      </c>
      <c r="I57">
        <v>36000</v>
      </c>
      <c r="J57" t="s">
        <v>195</v>
      </c>
      <c r="K57">
        <v>6</v>
      </c>
      <c r="L57">
        <v>6.1719999999999997</v>
      </c>
      <c r="M57">
        <v>7</v>
      </c>
      <c r="N57">
        <v>250</v>
      </c>
      <c r="O57">
        <v>1585.08</v>
      </c>
      <c r="P57">
        <v>5.86</v>
      </c>
      <c r="Q57">
        <f t="shared" si="5"/>
        <v>0</v>
      </c>
      <c r="R57">
        <v>1</v>
      </c>
      <c r="S57">
        <v>3604.7860000000001</v>
      </c>
      <c r="T57">
        <v>1.7000000000000001E-2</v>
      </c>
      <c r="U57">
        <v>28</v>
      </c>
      <c r="V57">
        <v>28</v>
      </c>
      <c r="W57">
        <v>28</v>
      </c>
      <c r="X57">
        <f t="shared" si="6"/>
        <v>3.6666666666666665</v>
      </c>
      <c r="Y57">
        <v>5</v>
      </c>
      <c r="Z57">
        <v>18000.009999999998</v>
      </c>
      <c r="AA57">
        <v>3600</v>
      </c>
      <c r="AB57">
        <v>28</v>
      </c>
      <c r="AC57">
        <v>28</v>
      </c>
      <c r="AD57">
        <v>28</v>
      </c>
      <c r="AE57">
        <f t="shared" si="7"/>
        <v>3.6666666666666665</v>
      </c>
    </row>
    <row r="58" spans="1:31">
      <c r="A58" t="s">
        <v>248</v>
      </c>
      <c r="B58">
        <v>886</v>
      </c>
      <c r="C58">
        <v>2542</v>
      </c>
      <c r="D58">
        <v>6.0000000000000001E-3</v>
      </c>
      <c r="E58">
        <v>2</v>
      </c>
      <c r="F58">
        <v>29</v>
      </c>
      <c r="G58">
        <f t="shared" si="4"/>
        <v>5</v>
      </c>
      <c r="H58" t="s">
        <v>195</v>
      </c>
      <c r="I58">
        <v>36000</v>
      </c>
      <c r="J58" t="s">
        <v>195</v>
      </c>
      <c r="K58">
        <v>5</v>
      </c>
      <c r="L58">
        <v>6.048</v>
      </c>
      <c r="M58">
        <v>7</v>
      </c>
      <c r="N58">
        <v>250</v>
      </c>
      <c r="O58">
        <v>1035.72</v>
      </c>
      <c r="P58">
        <v>11.78</v>
      </c>
      <c r="Q58">
        <f t="shared" si="5"/>
        <v>0</v>
      </c>
      <c r="R58">
        <v>1</v>
      </c>
      <c r="S58">
        <v>4460.9859999999999</v>
      </c>
      <c r="T58">
        <v>1.7000000000000001E-2</v>
      </c>
      <c r="U58">
        <v>29</v>
      </c>
      <c r="V58">
        <v>29</v>
      </c>
      <c r="W58">
        <v>29</v>
      </c>
      <c r="X58">
        <f t="shared" si="6"/>
        <v>4.8</v>
      </c>
      <c r="Y58">
        <v>5</v>
      </c>
      <c r="Z58">
        <v>23.16</v>
      </c>
      <c r="AA58">
        <v>23.16</v>
      </c>
      <c r="AB58">
        <v>29</v>
      </c>
      <c r="AC58">
        <v>29</v>
      </c>
      <c r="AD58">
        <v>29</v>
      </c>
      <c r="AE58">
        <f t="shared" si="7"/>
        <v>4.8</v>
      </c>
    </row>
    <row r="59" spans="1:31">
      <c r="A59" t="s">
        <v>249</v>
      </c>
      <c r="B59">
        <v>936</v>
      </c>
      <c r="C59">
        <v>2664</v>
      </c>
      <c r="D59">
        <v>6.0000000000000001E-3</v>
      </c>
      <c r="E59">
        <v>1</v>
      </c>
      <c r="F59">
        <v>30</v>
      </c>
      <c r="G59">
        <f t="shared" si="4"/>
        <v>3</v>
      </c>
      <c r="H59" t="s">
        <v>195</v>
      </c>
      <c r="I59">
        <v>36000</v>
      </c>
      <c r="J59" t="s">
        <v>195</v>
      </c>
      <c r="K59">
        <v>3</v>
      </c>
      <c r="L59">
        <v>4.3920000000000003</v>
      </c>
      <c r="M59">
        <v>6</v>
      </c>
      <c r="N59">
        <v>250</v>
      </c>
      <c r="O59">
        <v>518.91</v>
      </c>
      <c r="P59">
        <v>95.22</v>
      </c>
      <c r="Q59">
        <f t="shared" si="5"/>
        <v>0</v>
      </c>
      <c r="R59">
        <v>1</v>
      </c>
      <c r="S59">
        <v>3984.4580000000001</v>
      </c>
      <c r="T59">
        <v>916.66700000000003</v>
      </c>
      <c r="U59">
        <v>29</v>
      </c>
      <c r="V59">
        <v>29</v>
      </c>
      <c r="W59">
        <v>29</v>
      </c>
      <c r="X59">
        <f t="shared" si="6"/>
        <v>8.6666666666666661</v>
      </c>
      <c r="Y59">
        <v>5</v>
      </c>
      <c r="Z59">
        <v>25.73</v>
      </c>
      <c r="AA59">
        <v>20.420000000000002</v>
      </c>
      <c r="AB59">
        <v>30</v>
      </c>
      <c r="AC59">
        <v>30</v>
      </c>
      <c r="AD59">
        <v>30</v>
      </c>
      <c r="AE59">
        <f t="shared" si="7"/>
        <v>9</v>
      </c>
    </row>
    <row r="60" spans="1:31">
      <c r="A60" t="s">
        <v>168</v>
      </c>
      <c r="B60">
        <v>960</v>
      </c>
      <c r="C60">
        <v>7442</v>
      </c>
      <c r="D60">
        <v>1.6E-2</v>
      </c>
      <c r="E60">
        <v>2</v>
      </c>
      <c r="F60">
        <v>30</v>
      </c>
      <c r="G60">
        <f t="shared" si="4"/>
        <v>5</v>
      </c>
      <c r="H60" t="s">
        <v>195</v>
      </c>
      <c r="I60">
        <v>36000</v>
      </c>
      <c r="J60" t="s">
        <v>195</v>
      </c>
      <c r="K60">
        <v>5</v>
      </c>
      <c r="L60">
        <v>6.548</v>
      </c>
      <c r="M60">
        <v>8</v>
      </c>
      <c r="N60">
        <v>250</v>
      </c>
      <c r="O60">
        <v>2118.19</v>
      </c>
      <c r="P60">
        <v>403.6</v>
      </c>
      <c r="Q60">
        <f t="shared" si="5"/>
        <v>0</v>
      </c>
      <c r="R60">
        <v>1</v>
      </c>
      <c r="S60">
        <v>4716.4570000000003</v>
      </c>
      <c r="T60">
        <v>2.3E-2</v>
      </c>
      <c r="U60">
        <v>30</v>
      </c>
      <c r="V60">
        <v>30</v>
      </c>
      <c r="W60">
        <v>30</v>
      </c>
      <c r="X60">
        <f t="shared" si="6"/>
        <v>5</v>
      </c>
      <c r="Y60">
        <v>5</v>
      </c>
      <c r="Z60">
        <v>69.400000000000006</v>
      </c>
      <c r="AA60">
        <v>14.58</v>
      </c>
      <c r="AB60">
        <v>30</v>
      </c>
      <c r="AC60">
        <v>30</v>
      </c>
      <c r="AD60">
        <v>30</v>
      </c>
      <c r="AE60">
        <f t="shared" si="7"/>
        <v>5</v>
      </c>
    </row>
    <row r="61" spans="1:31">
      <c r="A61" t="s">
        <v>250</v>
      </c>
      <c r="B61">
        <v>983</v>
      </c>
      <c r="C61">
        <v>2678</v>
      </c>
      <c r="D61">
        <v>6.0000000000000001E-3</v>
      </c>
      <c r="E61">
        <v>3</v>
      </c>
      <c r="F61">
        <v>31</v>
      </c>
      <c r="G61">
        <f t="shared" si="4"/>
        <v>6</v>
      </c>
      <c r="H61" t="s">
        <v>195</v>
      </c>
      <c r="I61">
        <v>36000</v>
      </c>
      <c r="J61" t="s">
        <v>195</v>
      </c>
      <c r="K61">
        <v>6</v>
      </c>
      <c r="L61">
        <v>7.3040000000000003</v>
      </c>
      <c r="M61">
        <v>8</v>
      </c>
      <c r="N61">
        <v>250</v>
      </c>
      <c r="O61">
        <v>1736.53</v>
      </c>
      <c r="P61">
        <v>404.24</v>
      </c>
      <c r="Q61">
        <f t="shared" si="5"/>
        <v>0</v>
      </c>
      <c r="R61">
        <v>1</v>
      </c>
      <c r="S61">
        <v>4067.1790000000001</v>
      </c>
      <c r="T61">
        <v>2214.212</v>
      </c>
      <c r="U61">
        <v>30</v>
      </c>
      <c r="V61">
        <v>30</v>
      </c>
      <c r="W61">
        <v>30</v>
      </c>
      <c r="X61">
        <f t="shared" si="6"/>
        <v>4</v>
      </c>
      <c r="Y61">
        <v>5</v>
      </c>
      <c r="Z61">
        <v>18000.009999999998</v>
      </c>
      <c r="AA61">
        <v>3600</v>
      </c>
      <c r="AB61">
        <v>30</v>
      </c>
      <c r="AC61">
        <v>30</v>
      </c>
      <c r="AD61">
        <v>30</v>
      </c>
      <c r="AE61">
        <f t="shared" si="7"/>
        <v>4</v>
      </c>
    </row>
    <row r="62" spans="1:31">
      <c r="A62" t="s">
        <v>251</v>
      </c>
      <c r="B62">
        <v>989</v>
      </c>
      <c r="C62">
        <v>3500</v>
      </c>
      <c r="D62">
        <v>7.0000000000000001E-3</v>
      </c>
      <c r="E62">
        <v>4</v>
      </c>
      <c r="F62">
        <v>31</v>
      </c>
      <c r="G62">
        <f t="shared" si="4"/>
        <v>10</v>
      </c>
      <c r="H62" t="s">
        <v>195</v>
      </c>
      <c r="I62">
        <v>36000</v>
      </c>
      <c r="J62" t="s">
        <v>195</v>
      </c>
      <c r="K62">
        <v>10</v>
      </c>
      <c r="L62">
        <v>10.548</v>
      </c>
      <c r="M62">
        <v>12</v>
      </c>
      <c r="N62">
        <v>250</v>
      </c>
      <c r="O62">
        <v>4060.5</v>
      </c>
      <c r="P62">
        <v>33.729999999999997</v>
      </c>
      <c r="Q62">
        <f t="shared" si="5"/>
        <v>0</v>
      </c>
      <c r="R62">
        <v>1</v>
      </c>
      <c r="S62">
        <v>3828.1</v>
      </c>
      <c r="T62">
        <v>1368.278</v>
      </c>
      <c r="U62">
        <v>30</v>
      </c>
      <c r="V62">
        <v>30</v>
      </c>
      <c r="W62">
        <v>30</v>
      </c>
      <c r="X62">
        <f t="shared" si="6"/>
        <v>2</v>
      </c>
      <c r="Y62">
        <v>5</v>
      </c>
      <c r="Z62">
        <v>18000.009999999998</v>
      </c>
      <c r="AA62">
        <v>3600</v>
      </c>
      <c r="AB62">
        <v>30</v>
      </c>
      <c r="AC62">
        <v>30</v>
      </c>
      <c r="AD62">
        <v>30</v>
      </c>
      <c r="AE62">
        <f t="shared" si="7"/>
        <v>2</v>
      </c>
    </row>
    <row r="63" spans="1:31">
      <c r="A63" t="s">
        <v>252</v>
      </c>
      <c r="B63">
        <v>992</v>
      </c>
      <c r="C63">
        <v>7876</v>
      </c>
      <c r="D63">
        <v>1.6E-2</v>
      </c>
      <c r="E63">
        <v>2</v>
      </c>
      <c r="F63">
        <v>31</v>
      </c>
      <c r="G63">
        <f t="shared" si="4"/>
        <v>5</v>
      </c>
      <c r="H63" t="s">
        <v>195</v>
      </c>
      <c r="I63">
        <v>36000</v>
      </c>
      <c r="J63" t="s">
        <v>195</v>
      </c>
      <c r="K63">
        <v>5</v>
      </c>
      <c r="L63">
        <v>5.944</v>
      </c>
      <c r="M63">
        <v>7</v>
      </c>
      <c r="N63">
        <v>250</v>
      </c>
      <c r="O63">
        <v>1078.55</v>
      </c>
      <c r="P63">
        <v>32.299999999999997</v>
      </c>
      <c r="Q63">
        <f t="shared" si="5"/>
        <v>0</v>
      </c>
      <c r="R63">
        <v>1</v>
      </c>
      <c r="S63">
        <v>3859.7820000000002</v>
      </c>
      <c r="T63">
        <v>2.4E-2</v>
      </c>
      <c r="U63">
        <v>31</v>
      </c>
      <c r="V63">
        <v>31</v>
      </c>
      <c r="W63">
        <v>31</v>
      </c>
      <c r="X63">
        <f t="shared" si="6"/>
        <v>5.2</v>
      </c>
      <c r="Y63">
        <v>5</v>
      </c>
      <c r="Z63">
        <v>18000.009999999998</v>
      </c>
      <c r="AA63">
        <v>3600</v>
      </c>
      <c r="AB63">
        <v>31</v>
      </c>
      <c r="AC63">
        <v>31</v>
      </c>
      <c r="AD63">
        <v>31</v>
      </c>
      <c r="AE63">
        <f t="shared" si="7"/>
        <v>5.2</v>
      </c>
    </row>
    <row r="64" spans="1:31">
      <c r="A64" t="s">
        <v>253</v>
      </c>
      <c r="B64">
        <f>AVERAGE(B3:B63)</f>
        <v>581.88524590163934</v>
      </c>
      <c r="C64">
        <f t="shared" ref="C64:AE64" si="8">AVERAGE(C3:C63)</f>
        <v>4696.688524590164</v>
      </c>
      <c r="D64">
        <f t="shared" si="8"/>
        <v>3.5032786885245873E-2</v>
      </c>
      <c r="E64">
        <f t="shared" si="8"/>
        <v>3.0655737704918034</v>
      </c>
      <c r="F64">
        <f t="shared" si="8"/>
        <v>23.180327868852459</v>
      </c>
      <c r="G64">
        <f t="shared" si="8"/>
        <v>7.0327868852459012</v>
      </c>
      <c r="H64" t="e">
        <f t="shared" si="8"/>
        <v>#DIV/0!</v>
      </c>
      <c r="I64">
        <f t="shared" si="8"/>
        <v>36000</v>
      </c>
      <c r="J64" t="e">
        <f t="shared" si="8"/>
        <v>#DIV/0!</v>
      </c>
      <c r="K64">
        <f t="shared" si="8"/>
        <v>7.0327868852459012</v>
      </c>
      <c r="L64">
        <f t="shared" si="8"/>
        <v>7.7072459016393458</v>
      </c>
      <c r="M64">
        <f t="shared" si="8"/>
        <v>8.6885245901639347</v>
      </c>
      <c r="N64">
        <f t="shared" si="8"/>
        <v>236.91803278688525</v>
      </c>
      <c r="O64">
        <f t="shared" si="8"/>
        <v>3331.875409836065</v>
      </c>
      <c r="P64">
        <f t="shared" si="8"/>
        <v>376.82557377049181</v>
      </c>
      <c r="Q64">
        <f t="shared" si="8"/>
        <v>0</v>
      </c>
      <c r="R64">
        <f t="shared" si="8"/>
        <v>2.901639344262295</v>
      </c>
      <c r="S64">
        <f t="shared" si="8"/>
        <v>3713.8283442622956</v>
      </c>
      <c r="T64">
        <f t="shared" si="8"/>
        <v>299.06690163934417</v>
      </c>
      <c r="U64">
        <f t="shared" si="8"/>
        <v>22.655737704918032</v>
      </c>
      <c r="V64">
        <f t="shared" si="8"/>
        <v>22.716065573770493</v>
      </c>
      <c r="W64">
        <f t="shared" si="8"/>
        <v>22.770491803278688</v>
      </c>
      <c r="X64">
        <f t="shared" si="8"/>
        <v>3.0863789216248243</v>
      </c>
      <c r="Y64">
        <f t="shared" si="8"/>
        <v>5</v>
      </c>
      <c r="Z64">
        <f t="shared" si="8"/>
        <v>8868.8337704918049</v>
      </c>
      <c r="AA64">
        <f t="shared" si="8"/>
        <v>2161.6362295081967</v>
      </c>
      <c r="AB64">
        <f t="shared" si="8"/>
        <v>22.196721311475411</v>
      </c>
      <c r="AC64">
        <f t="shared" si="8"/>
        <v>22.422950819672131</v>
      </c>
      <c r="AD64">
        <f t="shared" si="8"/>
        <v>22.590163934426229</v>
      </c>
      <c r="AE64">
        <f t="shared" si="8"/>
        <v>3.0051074153533173</v>
      </c>
    </row>
    <row r="65" spans="5:31">
      <c r="Q65">
        <f>COUNTIF(Q3:Q63,0)</f>
        <v>61</v>
      </c>
      <c r="X65">
        <f>COUNTIF(X3:X63,0)</f>
        <v>0</v>
      </c>
      <c r="AE65">
        <f>COUNTIF(AE3:AE63,0)</f>
        <v>0</v>
      </c>
    </row>
    <row r="67" spans="5:31" ht="14" thickBot="1"/>
    <row r="68" spans="5:31" ht="14" thickBot="1">
      <c r="E68" s="50"/>
      <c r="F68" s="46" t="s">
        <v>18</v>
      </c>
      <c r="G68" s="47" t="s">
        <v>169</v>
      </c>
      <c r="H68" s="47" t="s">
        <v>170</v>
      </c>
      <c r="I68" s="47" t="s">
        <v>177</v>
      </c>
      <c r="J68" s="53" t="s">
        <v>272</v>
      </c>
      <c r="K68" s="53" t="s">
        <v>180</v>
      </c>
      <c r="L68" s="47" t="s">
        <v>176</v>
      </c>
      <c r="M68" s="49" t="s">
        <v>17</v>
      </c>
    </row>
    <row r="69" spans="5:31">
      <c r="E69" s="61" t="s">
        <v>3</v>
      </c>
      <c r="F69" s="57"/>
      <c r="G69" s="57"/>
      <c r="H69" s="57"/>
      <c r="I69" s="57"/>
      <c r="J69" s="58"/>
      <c r="K69" s="58"/>
      <c r="L69" s="59"/>
      <c r="M69" s="60"/>
    </row>
    <row r="70" spans="5:31">
      <c r="E70" s="51" t="s">
        <v>254</v>
      </c>
      <c r="F70" s="37">
        <f>K64</f>
        <v>7.0327868852459012</v>
      </c>
      <c r="G70" s="37">
        <f>L64</f>
        <v>7.7072459016393458</v>
      </c>
      <c r="H70" s="37">
        <f>M64</f>
        <v>8.6885245901639347</v>
      </c>
      <c r="I70" s="37">
        <f>N64</f>
        <v>236.91803278688525</v>
      </c>
      <c r="J70" s="54">
        <f>P64</f>
        <v>376.82557377049181</v>
      </c>
      <c r="K70" s="54">
        <f>O64</f>
        <v>3331.875409836065</v>
      </c>
      <c r="L70" s="38">
        <f>Q64</f>
        <v>0</v>
      </c>
      <c r="M70" s="40">
        <f>Q65</f>
        <v>61</v>
      </c>
    </row>
    <row r="71" spans="5:31">
      <c r="E71" s="51" t="s">
        <v>178</v>
      </c>
      <c r="F71" s="37">
        <f>U64</f>
        <v>22.655737704918032</v>
      </c>
      <c r="G71" s="37">
        <f>V64</f>
        <v>22.716065573770493</v>
      </c>
      <c r="H71" s="37">
        <f>W64</f>
        <v>22.770491803278688</v>
      </c>
      <c r="I71" s="37">
        <f>R64</f>
        <v>2.901639344262295</v>
      </c>
      <c r="J71" s="54">
        <f>T64</f>
        <v>299.06690163934417</v>
      </c>
      <c r="K71" s="54">
        <f>S64</f>
        <v>3713.8283442622956</v>
      </c>
      <c r="L71" s="38">
        <f>X64</f>
        <v>3.0863789216248243</v>
      </c>
      <c r="M71" s="40">
        <f>X65</f>
        <v>0</v>
      </c>
    </row>
    <row r="72" spans="5:31" ht="14" thickBot="1">
      <c r="E72" s="52" t="s">
        <v>271</v>
      </c>
      <c r="F72" s="42">
        <f>AB64</f>
        <v>22.196721311475411</v>
      </c>
      <c r="G72" s="42">
        <f>AC64</f>
        <v>22.422950819672131</v>
      </c>
      <c r="H72" s="42">
        <f>AD64</f>
        <v>22.590163934426229</v>
      </c>
      <c r="I72" s="42">
        <f>Y64</f>
        <v>5</v>
      </c>
      <c r="J72" s="55">
        <f>AB64</f>
        <v>22.196721311475411</v>
      </c>
      <c r="K72" s="55">
        <f>Z64</f>
        <v>8868.8337704918049</v>
      </c>
      <c r="L72" s="56">
        <f>AE64</f>
        <v>3.0051074153533173</v>
      </c>
      <c r="M72" s="45">
        <f>AE65</f>
        <v>0</v>
      </c>
    </row>
  </sheetData>
  <sheetProtection algorithmName="SHA-512" hashValue="Jzljq6NwDpSy91xOPTiWsj3BYMgveESz7lsNUFsDjlnVk1rq9nSQ7iDT8GjSxXnaI6Uuand4uJ8OGDQTtUwDZQ==" saltValue="PzRFG5dkXt4QnEB3uUoEQg==" spinCount="100000" sheet="1" formatCells="0" formatColumns="0" formatRows="0" insertColumns="0" insertRows="0" insertHyperlinks="0" deleteColumns="0" deleteRows="0" sort="0" autoFilter="0" pivotTables="0"/>
  <mergeCells count="4">
    <mergeCell ref="H1:J1"/>
    <mergeCell ref="K1:Q1"/>
    <mergeCell ref="R1:X1"/>
    <mergeCell ref="Y1:AE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f84c4ea-370d-4b9e-830c-756f8bf1b51f}" enabled="0" method="" siteId="{5f84c4ea-370d-4b9e-830c-756f8bf1b51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Std-MA-SA</vt:lpstr>
      <vt:lpstr>52HB MA-SA</vt:lpstr>
      <vt:lpstr>61HB-MA-SA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Cavero Díaz</cp:lastModifiedBy>
  <dcterms:created xsi:type="dcterms:W3CDTF">2026-03-18T08:18:07Z</dcterms:created>
  <dcterms:modified xsi:type="dcterms:W3CDTF">2026-03-18T08:19:35Z</dcterms:modified>
</cp:coreProperties>
</file>